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tables/table1.xml" ContentType="application/vnd.openxmlformats-officedocument.spreadsheetml.table+xml"/>
  <Override PartName="/xl/comments8.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mc:AlternateContent xmlns:mc="http://schemas.openxmlformats.org/markup-compatibility/2006">
    <mc:Choice Requires="x15">
      <x15ac:absPath xmlns:x15ac="http://schemas.microsoft.com/office/spreadsheetml/2010/11/ac" url="https://northeastern-my.sharepoint.com/personal/reddy_ron_northeastern_edu/Documents/"/>
    </mc:Choice>
  </mc:AlternateContent>
  <xr:revisionPtr revIDLastSave="0" documentId="8_{BCB95241-263F-4257-BBC5-C9B2C37B34D5}" xr6:coauthVersionLast="47" xr6:coauthVersionMax="47" xr10:uidLastSave="{00000000-0000-0000-0000-000000000000}"/>
  <bookViews>
    <workbookView xWindow="-108" yWindow="-108" windowWidth="23256" windowHeight="13896" tabRatio="1000" firstSheet="4" activeTab="2" xr2:uid="{8A22698F-937C-4E35-82D8-20DE6E185F88}"/>
  </bookViews>
  <sheets>
    <sheet name="Valuation--&gt;" sheetId="23" r:id="rId1"/>
    <sheet name="PB_CACHE" sheetId="28" state="veryHidden" r:id="rId2"/>
    <sheet name="Summary" sheetId="6" r:id="rId3"/>
    <sheet name="Assumptions" sheetId="25" r:id="rId4"/>
    <sheet name="Financials" sheetId="27" r:id="rId5"/>
    <sheet name="DCF" sheetId="3" r:id="rId6"/>
    <sheet name="DCF (H-Model for TV)" sheetId="33" r:id="rId7"/>
    <sheet name="P-S Multiples" sheetId="18" r:id="rId8"/>
    <sheet name="Market Cap-Sales Multiples" sheetId="34" r:id="rId9"/>
    <sheet name="EV-Sales Multiples" sheetId="29" r:id="rId10"/>
    <sheet name="Precedent Transaction Multiple" sheetId="32" r:id="rId11"/>
    <sheet name="IS Summary" sheetId="5" r:id="rId12"/>
  </sheets>
  <definedNames>
    <definedName name="Annual_Periods">OFFSET(Financials!$E$6,0,1):OFFSET(Financials!$O$6,0,-1)</definedName>
    <definedName name="BS_End">Financials!$B$98</definedName>
    <definedName name="BS_Start">Financials!$B$49</definedName>
    <definedName name="CIQWBGuid" hidden="1">"Project Friend - Projections and Model.xlsx"</definedName>
    <definedName name="Comp_Name">Assumptions!$B$2</definedName>
    <definedName name="Cost_of_Debt">Assumptions!$B$15</definedName>
    <definedName name="Cost_of_Equity">Assumptions!$B$22</definedName>
    <definedName name="Country_RP">Assumptions!$B$19</definedName>
    <definedName name="Current_Price">Assumptions!$B$4</definedName>
    <definedName name="DCF_Enterprise_Value" localSheetId="6">'DCF (H-Model for TV)'!$C$55</definedName>
    <definedName name="DCF_Enterprise_Value">DCF!$C$52</definedName>
    <definedName name="DCF_Enterprise_Value_PerShare" localSheetId="6">'DCF (H-Model for TV)'!$D$55</definedName>
    <definedName name="DCF_Enterprise_Value_PerShare">DCF!$D$52</definedName>
    <definedName name="DCF_Equity_Value" localSheetId="6">'DCF (H-Model for TV)'!$C$57</definedName>
    <definedName name="DCF_Equity_Value">DCF!$C$54</definedName>
    <definedName name="DCF_Equity_Value_PerShare" localSheetId="6">'DCF (H-Model for TV)'!$D$57</definedName>
    <definedName name="DCF_Equity_Value_PerShare">DCF!$D$54</definedName>
    <definedName name="Debt_Adj_Factor">Assumptions!$B$13</definedName>
    <definedName name="Debt_MV">Assumptions!$B$28</definedName>
    <definedName name="Equity_Beta">Assumptions!$B$21</definedName>
    <definedName name="Equity_MV">Assumptions!$B$27</definedName>
    <definedName name="Equity_Risk_Premium">Assumptions!$B$18</definedName>
    <definedName name="IQ_DNTM" hidden="1">700000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MTD" hidden="1">800000</definedName>
    <definedName name="IQ_NAMES_REVISION_DATE_" hidden="1">44280.7903587963</definedName>
    <definedName name="IQ_QTD" hidden="1">750000</definedName>
    <definedName name="IQ_TODAY" hidden="1">0</definedName>
    <definedName name="IQ_YTDMONTH" hidden="1">130000</definedName>
    <definedName name="_xlnm.Print_Area" localSheetId="6">'DCF (H-Model for TV)'!$A$1:$I$57</definedName>
    <definedName name="_xlnm.Print_Area" localSheetId="9">'EV-Sales Multiples'!$A$1:$R$32</definedName>
    <definedName name="_xlnm.Print_Area" localSheetId="11">'IS Summary'!$A$1:$J$17</definedName>
    <definedName name="_xlnm.Print_Area" localSheetId="8">'Market Cap-Sales Multiples'!$A$1:$R$32</definedName>
    <definedName name="_xlnm.Print_Area" localSheetId="7">'P-S Multiples'!$A$1:$R$32</definedName>
    <definedName name="_xlnm.Print_Area" localSheetId="2">Summary!$B$1:$M$31</definedName>
    <definedName name="_xlnm.Print_Area" localSheetId="5">DCF!$A$1:$W$66</definedName>
    <definedName name="Risk_Free_Rate">Assumptions!$B$12</definedName>
    <definedName name="Scale_Symbol">Assumptions!$D$6</definedName>
    <definedName name="Scaler">Assumptions!$C$6</definedName>
    <definedName name="Shares_Out">Assumptions!$B$25</definedName>
    <definedName name="Size_RP">Assumptions!$B$20</definedName>
    <definedName name="Tax_Rate">Assumptions!$B$14</definedName>
    <definedName name="Terminal_Rate">Assumptions!$B$33</definedName>
    <definedName name="Total_Capitalization">Assumptions!$B$29</definedName>
    <definedName name="WACC">Assumptions!$C$30</definedName>
    <definedName name="WACC_Override" localSheetId="6">'DCF (H-Model for TV)'!$L$27</definedName>
    <definedName name="WACC_Override">DCF!$L$27</definedName>
  </definedNames>
  <calcPr calcId="191028" calcMode="autoNoTabl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93" i="27" l="1"/>
  <c r="M93" i="27"/>
  <c r="L93" i="27"/>
  <c r="K93" i="27"/>
  <c r="J93" i="27"/>
  <c r="K74" i="27"/>
  <c r="L74" i="27" s="1"/>
  <c r="M74" i="27" s="1"/>
  <c r="N74" i="27" s="1"/>
  <c r="J74" i="27"/>
  <c r="M141" i="27"/>
  <c r="N141" i="27" s="1"/>
  <c r="G93" i="27"/>
  <c r="B14" i="32"/>
  <c r="J30" i="34"/>
  <c r="R10" i="34"/>
  <c r="Q10" i="34"/>
  <c r="R9" i="34"/>
  <c r="Q9" i="34"/>
  <c r="R8" i="34"/>
  <c r="Q8" i="34"/>
  <c r="R7" i="34"/>
  <c r="Q7" i="34"/>
  <c r="D3" i="34"/>
  <c r="R7" i="29"/>
  <c r="Q13" i="18"/>
  <c r="Q14" i="18"/>
  <c r="Q15" i="18"/>
  <c r="Q12" i="18"/>
  <c r="B3" i="3"/>
  <c r="R8" i="18"/>
  <c r="R9" i="18"/>
  <c r="R10" i="18"/>
  <c r="R7" i="18"/>
  <c r="Q8" i="18"/>
  <c r="Q9" i="18"/>
  <c r="Q10" i="18"/>
  <c r="Q7" i="18"/>
  <c r="Q7" i="29"/>
  <c r="R8" i="29"/>
  <c r="R9" i="29"/>
  <c r="R10" i="29"/>
  <c r="Q8" i="29"/>
  <c r="Q9" i="29"/>
  <c r="Q10" i="29"/>
  <c r="J90" i="27" l="1"/>
  <c r="K90" i="27" s="1"/>
  <c r="C46" i="3"/>
  <c r="J65" i="27"/>
  <c r="K65" i="27" s="1"/>
  <c r="L65" i="27" s="1"/>
  <c r="M65" i="27" s="1"/>
  <c r="N65" i="27" s="1"/>
  <c r="D34" i="33"/>
  <c r="D34" i="3"/>
  <c r="I35" i="27"/>
  <c r="H27" i="27"/>
  <c r="I27" i="27"/>
  <c r="J84" i="27"/>
  <c r="K84" i="27" s="1"/>
  <c r="L84" i="27" s="1"/>
  <c r="M84" i="27" s="1"/>
  <c r="N84" i="27" s="1"/>
  <c r="J62" i="27"/>
  <c r="K62" i="27" s="1"/>
  <c r="L62" i="27" s="1"/>
  <c r="M62" i="27" s="1"/>
  <c r="N62" i="27" s="1"/>
  <c r="J53" i="27"/>
  <c r="K53" i="27" s="1"/>
  <c r="L53" i="27" s="1"/>
  <c r="M53" i="27" s="1"/>
  <c r="N53" i="27" s="1"/>
  <c r="J83" i="27"/>
  <c r="K83" i="27" s="1"/>
  <c r="L83" i="27" s="1"/>
  <c r="M83" i="27" s="1"/>
  <c r="N83" i="27" s="1"/>
  <c r="J82" i="27"/>
  <c r="K82" i="27" s="1"/>
  <c r="L82" i="27" s="1"/>
  <c r="M82" i="27" s="1"/>
  <c r="N82" i="27" s="1"/>
  <c r="L90" i="27"/>
  <c r="M90" i="27" s="1"/>
  <c r="N90" i="27" s="1"/>
  <c r="J76" i="27"/>
  <c r="K76" i="27" s="1"/>
  <c r="L76" i="27" s="1"/>
  <c r="M76" i="27" s="1"/>
  <c r="N76" i="27" s="1"/>
  <c r="J64" i="27"/>
  <c r="K64" i="27" s="1"/>
  <c r="L64" i="27" s="1"/>
  <c r="M64" i="27" s="1"/>
  <c r="N64" i="27" s="1"/>
  <c r="B36" i="6"/>
  <c r="H192" i="27"/>
  <c r="I189" i="27" s="1"/>
  <c r="I192" i="27"/>
  <c r="F192" i="27"/>
  <c r="G192" i="27"/>
  <c r="F35" i="27"/>
  <c r="G27" i="27"/>
  <c r="F27" i="27"/>
  <c r="B22" i="25"/>
  <c r="J95" i="27"/>
  <c r="K95" i="27" s="1"/>
  <c r="L95" i="27" s="1"/>
  <c r="M95" i="27" s="1"/>
  <c r="N95" i="27" s="1"/>
  <c r="C48" i="33"/>
  <c r="E60" i="33"/>
  <c r="F60" i="33" s="1"/>
  <c r="G60" i="33" s="1"/>
  <c r="D60" i="33"/>
  <c r="C49" i="33"/>
  <c r="C25" i="33"/>
  <c r="C22" i="33"/>
  <c r="C18" i="33"/>
  <c r="C17" i="33"/>
  <c r="C13" i="33"/>
  <c r="C12" i="33"/>
  <c r="C11" i="33"/>
  <c r="C10" i="33"/>
  <c r="C9" i="33"/>
  <c r="B3" i="33"/>
  <c r="D217" i="27" l="1"/>
  <c r="B19" i="32"/>
  <c r="F194" i="27"/>
  <c r="F186" i="27"/>
  <c r="H189" i="27"/>
  <c r="D233" i="27"/>
  <c r="D234" i="27" s="1"/>
  <c r="D235" i="27" s="1"/>
  <c r="D225" i="27"/>
  <c r="D224" i="27" s="1"/>
  <c r="D223" i="27" s="1"/>
  <c r="D218" i="27"/>
  <c r="D219" i="27" s="1"/>
  <c r="H191" i="27"/>
  <c r="I191" i="27"/>
  <c r="G191" i="27"/>
  <c r="H183" i="27"/>
  <c r="I183" i="27"/>
  <c r="G183" i="27"/>
  <c r="E57" i="3"/>
  <c r="F57" i="3" s="1"/>
  <c r="G57" i="3" s="1"/>
  <c r="K120" i="27"/>
  <c r="L120" i="27"/>
  <c r="M120" i="27"/>
  <c r="N120" i="27"/>
  <c r="J120" i="27"/>
  <c r="J189" i="27"/>
  <c r="G189" i="27"/>
  <c r="J10" i="27"/>
  <c r="B35" i="6"/>
  <c r="C3" i="6"/>
  <c r="B33" i="6"/>
  <c r="B34" i="6"/>
  <c r="D3" i="29"/>
  <c r="F6" i="27"/>
  <c r="A2" i="5"/>
  <c r="D3" i="18"/>
  <c r="D57" i="3"/>
  <c r="C25" i="3"/>
  <c r="C22" i="3"/>
  <c r="C18" i="3"/>
  <c r="C17" i="3"/>
  <c r="C13" i="3"/>
  <c r="C12" i="3"/>
  <c r="C11" i="3"/>
  <c r="C10" i="3"/>
  <c r="C9" i="3"/>
  <c r="I210" i="27"/>
  <c r="J208" i="27" s="1"/>
  <c r="H210" i="27"/>
  <c r="I208" i="27" s="1"/>
  <c r="G210" i="27"/>
  <c r="H208" i="27"/>
  <c r="F210" i="27"/>
  <c r="F209" i="27" s="1"/>
  <c r="G208" i="27"/>
  <c r="I205" i="27"/>
  <c r="J203" i="27" s="1"/>
  <c r="J205" i="27" s="1"/>
  <c r="K203" i="27" s="1"/>
  <c r="K205" i="27" s="1"/>
  <c r="L203" i="27" s="1"/>
  <c r="L205" i="27" s="1"/>
  <c r="M203" i="27" s="1"/>
  <c r="M205" i="27" s="1"/>
  <c r="N203" i="27" s="1"/>
  <c r="N205" i="27" s="1"/>
  <c r="N75" i="27" s="1"/>
  <c r="H205" i="27"/>
  <c r="I203" i="27" s="1"/>
  <c r="G205" i="27"/>
  <c r="H203" i="27" s="1"/>
  <c r="F205" i="27"/>
  <c r="G203" i="27" s="1"/>
  <c r="G204" i="27" s="1"/>
  <c r="J198" i="27"/>
  <c r="I198" i="27"/>
  <c r="H198" i="27"/>
  <c r="G198" i="27"/>
  <c r="I184" i="27"/>
  <c r="J181" i="27" s="1"/>
  <c r="H184" i="27"/>
  <c r="I181" i="27"/>
  <c r="G184" i="27"/>
  <c r="H181" i="27" s="1"/>
  <c r="F184" i="27"/>
  <c r="G181" i="27" s="1"/>
  <c r="I176" i="27"/>
  <c r="J174" i="27" s="1"/>
  <c r="H176" i="27"/>
  <c r="I174" i="27" s="1"/>
  <c r="G176" i="27"/>
  <c r="H174" i="27" s="1"/>
  <c r="F176" i="27"/>
  <c r="G174" i="27" s="1"/>
  <c r="I170" i="27"/>
  <c r="J168" i="27" s="1"/>
  <c r="H170" i="27"/>
  <c r="I168" i="27" s="1"/>
  <c r="G170" i="27"/>
  <c r="H168" i="27" s="1"/>
  <c r="F170" i="27"/>
  <c r="F169" i="27" s="1"/>
  <c r="I164" i="27"/>
  <c r="J162" i="27" s="1"/>
  <c r="H164" i="27"/>
  <c r="I162" i="27"/>
  <c r="G164" i="27"/>
  <c r="H162" i="27" s="1"/>
  <c r="F164" i="27"/>
  <c r="G162" i="27" s="1"/>
  <c r="F163" i="27"/>
  <c r="I158" i="27"/>
  <c r="J156" i="27" s="1"/>
  <c r="H158" i="27"/>
  <c r="I156" i="27" s="1"/>
  <c r="G158" i="27"/>
  <c r="H156" i="27" s="1"/>
  <c r="F158" i="27"/>
  <c r="F157" i="27" s="1"/>
  <c r="I152" i="27"/>
  <c r="J150" i="27" s="1"/>
  <c r="H152" i="27"/>
  <c r="I150" i="27" s="1"/>
  <c r="I151" i="27" s="1"/>
  <c r="G152" i="27"/>
  <c r="H150" i="27" s="1"/>
  <c r="F152" i="27"/>
  <c r="G150" i="27" s="1"/>
  <c r="F151" i="27"/>
  <c r="I146" i="27"/>
  <c r="J144" i="27" s="1"/>
  <c r="H146" i="27"/>
  <c r="I144" i="27" s="1"/>
  <c r="I145" i="27" s="1"/>
  <c r="G146" i="27"/>
  <c r="H144" i="27" s="1"/>
  <c r="H145" i="27" s="1"/>
  <c r="F146" i="27"/>
  <c r="G144" i="27" s="1"/>
  <c r="I140" i="27"/>
  <c r="J138" i="27" s="1"/>
  <c r="H140" i="27"/>
  <c r="I138" i="27" s="1"/>
  <c r="G140" i="27"/>
  <c r="H138" i="27" s="1"/>
  <c r="F140" i="27"/>
  <c r="G138" i="27" s="1"/>
  <c r="I126" i="27"/>
  <c r="J124" i="27" s="1"/>
  <c r="H126" i="27"/>
  <c r="G126" i="27"/>
  <c r="F126" i="27"/>
  <c r="I103" i="27"/>
  <c r="H103" i="27"/>
  <c r="G103" i="27"/>
  <c r="F103" i="27"/>
  <c r="F104" i="27" s="1"/>
  <c r="I96" i="27"/>
  <c r="H96" i="27"/>
  <c r="G96" i="27"/>
  <c r="F96" i="27"/>
  <c r="I85" i="27"/>
  <c r="H85" i="27"/>
  <c r="G85" i="27"/>
  <c r="F85" i="27"/>
  <c r="I78" i="27"/>
  <c r="H78" i="27"/>
  <c r="G78" i="27"/>
  <c r="F78" i="27"/>
  <c r="I66" i="27"/>
  <c r="H66" i="27"/>
  <c r="G66" i="27"/>
  <c r="F66" i="27"/>
  <c r="I58" i="27"/>
  <c r="H58" i="27"/>
  <c r="G58" i="27"/>
  <c r="F58" i="27"/>
  <c r="I47" i="27"/>
  <c r="J44" i="27" s="1"/>
  <c r="H47" i="27"/>
  <c r="I44" i="27" s="1"/>
  <c r="G47" i="27"/>
  <c r="H44" i="27" s="1"/>
  <c r="F47" i="27"/>
  <c r="G44" i="27" s="1"/>
  <c r="H35" i="27"/>
  <c r="G35" i="27"/>
  <c r="I16" i="27"/>
  <c r="H16" i="27"/>
  <c r="G16" i="27"/>
  <c r="F16" i="27"/>
  <c r="I11" i="27"/>
  <c r="D15" i="34" s="1"/>
  <c r="Q15" i="34" s="1"/>
  <c r="H11" i="27"/>
  <c r="D14" i="34" s="1"/>
  <c r="Q14" i="34" s="1"/>
  <c r="G11" i="27"/>
  <c r="F11" i="27"/>
  <c r="D33" i="25"/>
  <c r="C33" i="25"/>
  <c r="B15" i="25"/>
  <c r="C19" i="3"/>
  <c r="D6" i="25"/>
  <c r="B29" i="33" s="1"/>
  <c r="A25" i="25"/>
  <c r="B22" i="3" s="1"/>
  <c r="C6" i="25"/>
  <c r="B4" i="25" a="1"/>
  <c r="B4" i="25" s="1"/>
  <c r="I8" i="33" s="1"/>
  <c r="H25" i="6"/>
  <c r="H182" i="27" l="1"/>
  <c r="H186" i="27" s="1"/>
  <c r="B7" i="34" a="1"/>
  <c r="B7" i="34" s="1"/>
  <c r="B17" i="34" s="1"/>
  <c r="G6" i="27"/>
  <c r="H6" i="27" s="1"/>
  <c r="I6" i="27" s="1"/>
  <c r="D12" i="29"/>
  <c r="Q12" i="29" s="1"/>
  <c r="D12" i="34"/>
  <c r="D13" i="29"/>
  <c r="Q13" i="29" s="1"/>
  <c r="D13" i="34"/>
  <c r="Q13" i="34" s="1"/>
  <c r="H169" i="27"/>
  <c r="H209" i="27"/>
  <c r="I199" i="27"/>
  <c r="G145" i="27"/>
  <c r="F145" i="27"/>
  <c r="B7" i="29" a="1"/>
  <c r="B7" i="29" s="1"/>
  <c r="B17" i="29" s="1"/>
  <c r="B29" i="3"/>
  <c r="A1" i="5"/>
  <c r="A26" i="25"/>
  <c r="B23" i="3" s="1"/>
  <c r="D14" i="29"/>
  <c r="Q14" i="29" s="1"/>
  <c r="F12" i="27"/>
  <c r="F175" i="27"/>
  <c r="G168" i="27"/>
  <c r="G169" i="27" s="1"/>
  <c r="H204" i="27"/>
  <c r="G175" i="27"/>
  <c r="I157" i="27"/>
  <c r="D232" i="27"/>
  <c r="D231" i="27" s="1"/>
  <c r="I175" i="27"/>
  <c r="G209" i="27"/>
  <c r="H163" i="27"/>
  <c r="C19" i="33"/>
  <c r="C14" i="33"/>
  <c r="B22" i="33"/>
  <c r="B23" i="33"/>
  <c r="C14" i="3"/>
  <c r="K10" i="27"/>
  <c r="L10" i="27" s="1"/>
  <c r="G156" i="27"/>
  <c r="G157" i="27" s="1"/>
  <c r="D216" i="27"/>
  <c r="D215" i="27" s="1"/>
  <c r="G199" i="27"/>
  <c r="I169" i="27"/>
  <c r="F199" i="27"/>
  <c r="I204" i="27"/>
  <c r="F204" i="27"/>
  <c r="D226" i="27"/>
  <c r="D227" i="27" s="1"/>
  <c r="B7" i="18" a="1"/>
  <c r="B7" i="18" s="1"/>
  <c r="B8" i="18" s="1"/>
  <c r="B18" i="18" s="1"/>
  <c r="I163" i="27"/>
  <c r="G139" i="27"/>
  <c r="F171" i="27"/>
  <c r="G163" i="27"/>
  <c r="F139" i="27"/>
  <c r="G151" i="27"/>
  <c r="I209" i="27"/>
  <c r="H199" i="27"/>
  <c r="K75" i="27"/>
  <c r="M75" i="27"/>
  <c r="L75" i="27"/>
  <c r="J75" i="27"/>
  <c r="I190" i="27"/>
  <c r="I194" i="27" s="1"/>
  <c r="I182" i="27"/>
  <c r="I186" i="27" s="1"/>
  <c r="H190" i="27"/>
  <c r="H194" i="27" s="1"/>
  <c r="G190" i="27"/>
  <c r="G194" i="27" s="1"/>
  <c r="L194" i="27" s="1"/>
  <c r="M194" i="27" s="1"/>
  <c r="N194" i="27" s="1"/>
  <c r="F68" i="27"/>
  <c r="G104" i="27"/>
  <c r="I104" i="27"/>
  <c r="G68" i="27"/>
  <c r="H87" i="27"/>
  <c r="H98" i="27" s="1"/>
  <c r="I147" i="27"/>
  <c r="H68" i="27"/>
  <c r="I68" i="27"/>
  <c r="G12" i="27"/>
  <c r="H153" i="27"/>
  <c r="G141" i="27"/>
  <c r="H141" i="27"/>
  <c r="H159" i="27"/>
  <c r="H151" i="27"/>
  <c r="F153" i="27"/>
  <c r="F185" i="27"/>
  <c r="G147" i="27"/>
  <c r="H157" i="27"/>
  <c r="I141" i="27"/>
  <c r="F147" i="27"/>
  <c r="G87" i="27"/>
  <c r="G98" i="27" s="1"/>
  <c r="H177" i="27"/>
  <c r="F165" i="27"/>
  <c r="G153" i="27"/>
  <c r="F17" i="27"/>
  <c r="I159" i="27"/>
  <c r="F177" i="27"/>
  <c r="D15" i="29"/>
  <c r="Q15" i="29" s="1"/>
  <c r="H165" i="27"/>
  <c r="F87" i="27"/>
  <c r="F98" i="27" s="1"/>
  <c r="G165" i="27"/>
  <c r="I139" i="27"/>
  <c r="I12" i="27"/>
  <c r="G17" i="27"/>
  <c r="I87" i="27"/>
  <c r="I98" i="27" s="1"/>
  <c r="H139" i="27"/>
  <c r="H171" i="27"/>
  <c r="H12" i="27"/>
  <c r="I165" i="27"/>
  <c r="I153" i="27"/>
  <c r="F27" i="6"/>
  <c r="I8" i="3"/>
  <c r="B27" i="25"/>
  <c r="G182" i="27"/>
  <c r="G186" i="27" s="1"/>
  <c r="I177" i="27"/>
  <c r="I17" i="27"/>
  <c r="I171" i="27"/>
  <c r="H104" i="27"/>
  <c r="H175" i="27"/>
  <c r="F141" i="27"/>
  <c r="F193" i="27"/>
  <c r="F159" i="27"/>
  <c r="H17" i="27"/>
  <c r="J11" i="27"/>
  <c r="J23" i="27" s="1"/>
  <c r="G177" i="27"/>
  <c r="H147" i="27"/>
  <c r="B8" i="34" l="1"/>
  <c r="B18" i="34" s="1"/>
  <c r="B12" i="34"/>
  <c r="H17" i="34" s="1"/>
  <c r="F100" i="27"/>
  <c r="D30" i="18"/>
  <c r="D30" i="34"/>
  <c r="Q12" i="34"/>
  <c r="J21" i="27"/>
  <c r="B8" i="29"/>
  <c r="B9" i="29" s="1"/>
  <c r="B12" i="29"/>
  <c r="J199" i="27"/>
  <c r="K199" i="27" s="1"/>
  <c r="J209" i="27"/>
  <c r="K209" i="27" s="1"/>
  <c r="B15" i="32"/>
  <c r="B16" i="32" s="1"/>
  <c r="J147" i="27"/>
  <c r="K147" i="27" s="1"/>
  <c r="L147" i="27" s="1"/>
  <c r="M147" i="27" s="1"/>
  <c r="N147" i="27" s="1"/>
  <c r="F18" i="27"/>
  <c r="G171" i="27"/>
  <c r="D31" i="33"/>
  <c r="C24" i="33"/>
  <c r="M10" i="27"/>
  <c r="L11" i="27"/>
  <c r="K11" i="27"/>
  <c r="K21" i="27" s="1"/>
  <c r="B13" i="18"/>
  <c r="G159" i="27"/>
  <c r="B9" i="18"/>
  <c r="B19" i="18" s="1"/>
  <c r="B17" i="18"/>
  <c r="B12" i="18"/>
  <c r="H193" i="27"/>
  <c r="G193" i="27"/>
  <c r="I193" i="27"/>
  <c r="H185" i="27"/>
  <c r="I185" i="27"/>
  <c r="G185" i="27"/>
  <c r="I100" i="27"/>
  <c r="G100" i="27"/>
  <c r="H100" i="27"/>
  <c r="F24" i="27"/>
  <c r="G18" i="27"/>
  <c r="G24" i="27"/>
  <c r="C24" i="3"/>
  <c r="B29" i="25"/>
  <c r="J12" i="27"/>
  <c r="D30" i="29"/>
  <c r="I18" i="27"/>
  <c r="I24" i="27"/>
  <c r="D31" i="3"/>
  <c r="J6" i="27"/>
  <c r="H18" i="27"/>
  <c r="H24" i="27"/>
  <c r="J193" i="27" l="1"/>
  <c r="D17" i="34"/>
  <c r="E17" i="34"/>
  <c r="J17" i="34"/>
  <c r="G17" i="34"/>
  <c r="K17" i="34"/>
  <c r="R17" i="34" s="1"/>
  <c r="B9" i="34"/>
  <c r="B19" i="34" s="1"/>
  <c r="B13" i="34"/>
  <c r="G18" i="34" s="1"/>
  <c r="M18" i="18"/>
  <c r="N18" i="18"/>
  <c r="M17" i="18"/>
  <c r="N17" i="18"/>
  <c r="D17" i="29"/>
  <c r="H17" i="29"/>
  <c r="G17" i="29"/>
  <c r="B18" i="29"/>
  <c r="B13" i="29"/>
  <c r="E17" i="29"/>
  <c r="J17" i="29"/>
  <c r="K17" i="29"/>
  <c r="J158" i="27"/>
  <c r="J157" i="27" s="1"/>
  <c r="J57" i="27" s="1"/>
  <c r="I36" i="27"/>
  <c r="S39" i="27" s="1"/>
  <c r="H17" i="18"/>
  <c r="G17" i="18"/>
  <c r="J152" i="27"/>
  <c r="J56" i="27" s="1"/>
  <c r="J140" i="27"/>
  <c r="K138" i="27" s="1"/>
  <c r="D33" i="3"/>
  <c r="K119" i="27"/>
  <c r="L199" i="27"/>
  <c r="J119" i="27"/>
  <c r="J200" i="27"/>
  <c r="K121" i="27"/>
  <c r="L209" i="27"/>
  <c r="J121" i="27"/>
  <c r="J210" i="27"/>
  <c r="H36" i="27"/>
  <c r="R39" i="27" s="1"/>
  <c r="G36" i="27"/>
  <c r="Q39" i="27" s="1"/>
  <c r="F36" i="27"/>
  <c r="P39" i="27" s="1"/>
  <c r="C56" i="33"/>
  <c r="D56" i="33" s="1"/>
  <c r="D33" i="33"/>
  <c r="H28" i="27"/>
  <c r="H30" i="27"/>
  <c r="I28" i="27"/>
  <c r="I29" i="27" s="1"/>
  <c r="I30" i="27"/>
  <c r="G28" i="27"/>
  <c r="G30" i="27"/>
  <c r="F28" i="27"/>
  <c r="F30" i="27"/>
  <c r="C54" i="33"/>
  <c r="D54" i="33" s="1"/>
  <c r="E31" i="33"/>
  <c r="D36" i="33"/>
  <c r="D38" i="33"/>
  <c r="D37" i="33"/>
  <c r="C27" i="25"/>
  <c r="C26" i="33"/>
  <c r="L152" i="27"/>
  <c r="L56" i="27" s="1"/>
  <c r="L12" i="27"/>
  <c r="L140" i="27"/>
  <c r="L54" i="27" s="1"/>
  <c r="K140" i="27"/>
  <c r="K152" i="27"/>
  <c r="K56" i="27" s="1"/>
  <c r="M11" i="27"/>
  <c r="N10" i="27"/>
  <c r="N11" i="27" s="1"/>
  <c r="K47" i="3" s="1"/>
  <c r="K12" i="27"/>
  <c r="K17" i="18"/>
  <c r="D17" i="18"/>
  <c r="E17" i="18"/>
  <c r="K18" i="18"/>
  <c r="J17" i="18"/>
  <c r="E18" i="18"/>
  <c r="J18" i="18"/>
  <c r="G18" i="18"/>
  <c r="D18" i="18"/>
  <c r="H18" i="18"/>
  <c r="B14" i="18"/>
  <c r="B10" i="18"/>
  <c r="B15" i="18" s="1"/>
  <c r="E31" i="3"/>
  <c r="D36" i="3"/>
  <c r="D38" i="3"/>
  <c r="C51" i="3"/>
  <c r="D51" i="3" s="1"/>
  <c r="C53" i="3"/>
  <c r="D53" i="3" s="1"/>
  <c r="D37" i="3"/>
  <c r="B14" i="29"/>
  <c r="B10" i="29"/>
  <c r="B19" i="29"/>
  <c r="K6" i="27"/>
  <c r="L6" i="27" s="1"/>
  <c r="M6" i="27" s="1"/>
  <c r="N6" i="27" s="1"/>
  <c r="Z6" i="27" a="1"/>
  <c r="Z6" i="27" s="1"/>
  <c r="AA6" i="27" s="1"/>
  <c r="AB6" i="27" s="1"/>
  <c r="AC6" i="27" s="1"/>
  <c r="AD6" i="27" s="1"/>
  <c r="C28" i="25"/>
  <c r="C26" i="3"/>
  <c r="D25" i="3" s="1"/>
  <c r="K193" i="27" l="1"/>
  <c r="B10" i="34"/>
  <c r="B20" i="34" s="1"/>
  <c r="M18" i="34"/>
  <c r="N18" i="34"/>
  <c r="B14" i="34"/>
  <c r="N19" i="34" s="1"/>
  <c r="Q17" i="34"/>
  <c r="K18" i="34"/>
  <c r="J18" i="34"/>
  <c r="H18" i="34"/>
  <c r="D18" i="34"/>
  <c r="E18" i="34"/>
  <c r="R18" i="18"/>
  <c r="U18" i="18" s="1"/>
  <c r="M19" i="29"/>
  <c r="M19" i="18"/>
  <c r="N19" i="18"/>
  <c r="D32" i="34"/>
  <c r="N19" i="29"/>
  <c r="N18" i="29"/>
  <c r="R17" i="18"/>
  <c r="U17" i="18" s="1"/>
  <c r="Q18" i="18"/>
  <c r="T18" i="18" s="1"/>
  <c r="Q17" i="18"/>
  <c r="R17" i="29"/>
  <c r="Q17" i="29"/>
  <c r="D18" i="29"/>
  <c r="K18" i="29"/>
  <c r="J18" i="29"/>
  <c r="G18" i="29"/>
  <c r="M18" i="29"/>
  <c r="E18" i="29"/>
  <c r="H18" i="29"/>
  <c r="K158" i="27"/>
  <c r="L156" i="27" s="1"/>
  <c r="L158" i="27"/>
  <c r="M156" i="27" s="1"/>
  <c r="I40" i="27"/>
  <c r="I41" i="27" s="1"/>
  <c r="J151" i="27"/>
  <c r="J182" i="27"/>
  <c r="J183" i="27" s="1"/>
  <c r="K150" i="27"/>
  <c r="K151" i="27" s="1"/>
  <c r="J54" i="27"/>
  <c r="K182" i="27"/>
  <c r="J139" i="27"/>
  <c r="L182" i="27"/>
  <c r="K156" i="27"/>
  <c r="K19" i="18"/>
  <c r="H29" i="27"/>
  <c r="G29" i="27"/>
  <c r="F29" i="27"/>
  <c r="J190" i="27"/>
  <c r="J191" i="27" s="1"/>
  <c r="M199" i="27"/>
  <c r="L119" i="27"/>
  <c r="K198" i="27"/>
  <c r="K200" i="27" s="1"/>
  <c r="M209" i="27"/>
  <c r="L121" i="27"/>
  <c r="K208" i="27"/>
  <c r="K210" i="27" s="1"/>
  <c r="J81" i="27"/>
  <c r="J85" i="27" s="1"/>
  <c r="D32" i="29"/>
  <c r="AF11" i="27"/>
  <c r="F31" i="33"/>
  <c r="G31" i="33" s="1"/>
  <c r="C30" i="25"/>
  <c r="B61" i="3" s="1"/>
  <c r="E41" i="33"/>
  <c r="F41" i="33" s="1"/>
  <c r="G41" i="33" s="1"/>
  <c r="H41" i="33" s="1"/>
  <c r="I41" i="33" s="1"/>
  <c r="D35" i="3"/>
  <c r="D39" i="3" s="1"/>
  <c r="D25" i="33"/>
  <c r="D24" i="33"/>
  <c r="M150" i="27"/>
  <c r="M138" i="27"/>
  <c r="K139" i="27"/>
  <c r="K54" i="27"/>
  <c r="L138" i="27"/>
  <c r="L139" i="27" s="1"/>
  <c r="L150" i="27"/>
  <c r="L151" i="27" s="1"/>
  <c r="N158" i="27"/>
  <c r="N12" i="27"/>
  <c r="N140" i="27"/>
  <c r="N152" i="27"/>
  <c r="N56" i="27" s="1"/>
  <c r="N182" i="27"/>
  <c r="M182" i="27"/>
  <c r="M140" i="27"/>
  <c r="M158" i="27"/>
  <c r="N156" i="27" s="1"/>
  <c r="M12" i="27"/>
  <c r="M152" i="27"/>
  <c r="B20" i="18"/>
  <c r="G19" i="18"/>
  <c r="E19" i="18"/>
  <c r="J19" i="18"/>
  <c r="D19" i="18"/>
  <c r="H19" i="18"/>
  <c r="C29" i="25"/>
  <c r="D24" i="3"/>
  <c r="D26" i="3" s="1"/>
  <c r="B3" i="5" a="1"/>
  <c r="H7" i="5" s="1"/>
  <c r="P6" i="27" a="1"/>
  <c r="F40" i="27"/>
  <c r="G40" i="27"/>
  <c r="E41" i="3"/>
  <c r="F41" i="3" s="1"/>
  <c r="G41" i="3" s="1"/>
  <c r="H41" i="3" s="1"/>
  <c r="I41" i="3" s="1"/>
  <c r="K21" i="6"/>
  <c r="F31" i="3"/>
  <c r="H40" i="27"/>
  <c r="E19" i="29"/>
  <c r="D19" i="29"/>
  <c r="K19" i="29"/>
  <c r="J19" i="29"/>
  <c r="H19" i="29"/>
  <c r="G19" i="29"/>
  <c r="B15" i="29"/>
  <c r="B20" i="29"/>
  <c r="K190" i="27" l="1"/>
  <c r="L193" i="27"/>
  <c r="B15" i="34"/>
  <c r="M20" i="34" s="1"/>
  <c r="Q18" i="34"/>
  <c r="D19" i="34"/>
  <c r="E19" i="34"/>
  <c r="G19" i="34"/>
  <c r="H19" i="34"/>
  <c r="J19" i="34"/>
  <c r="K19" i="34"/>
  <c r="M19" i="34"/>
  <c r="R18" i="34"/>
  <c r="M20" i="29"/>
  <c r="M21" i="29" s="1"/>
  <c r="R18" i="29"/>
  <c r="Q19" i="29"/>
  <c r="R19" i="29"/>
  <c r="M20" i="18"/>
  <c r="M21" i="18" s="1"/>
  <c r="N20" i="18"/>
  <c r="N21" i="18" s="1"/>
  <c r="N20" i="34"/>
  <c r="N21" i="34" s="1"/>
  <c r="N20" i="29"/>
  <c r="N21" i="29" s="1"/>
  <c r="T17" i="18"/>
  <c r="R19" i="18"/>
  <c r="U19" i="18" s="1"/>
  <c r="Q19" i="18"/>
  <c r="Q18" i="29"/>
  <c r="K157" i="27"/>
  <c r="K57" i="27" s="1"/>
  <c r="L157" i="27"/>
  <c r="L57" i="27" s="1"/>
  <c r="J26" i="27"/>
  <c r="J25" i="27"/>
  <c r="T25" i="27" s="1" a="1"/>
  <c r="T25" i="27" s="1"/>
  <c r="J110" i="27"/>
  <c r="E37" i="33" s="1"/>
  <c r="Q40" i="27" a="1"/>
  <c r="Q40" i="27" s="1"/>
  <c r="R40" i="27" a="1"/>
  <c r="R40" i="27" s="1"/>
  <c r="S40" i="27" a="1"/>
  <c r="S40" i="27" s="1"/>
  <c r="F45" i="27"/>
  <c r="J184" i="27"/>
  <c r="K181" i="27" s="1"/>
  <c r="K183" i="27" s="1"/>
  <c r="H20" i="18"/>
  <c r="H21" i="18" s="1"/>
  <c r="J114" i="27"/>
  <c r="E38" i="33" s="1"/>
  <c r="K114" i="27"/>
  <c r="F38" i="33" s="1"/>
  <c r="N199" i="27"/>
  <c r="N119" i="27" s="1"/>
  <c r="M119" i="27"/>
  <c r="L198" i="27"/>
  <c r="L200" i="27" s="1"/>
  <c r="N209" i="27"/>
  <c r="N121" i="27" s="1"/>
  <c r="M121" i="27"/>
  <c r="L208" i="27"/>
  <c r="L210" i="27" s="1"/>
  <c r="K81" i="27"/>
  <c r="K85" i="27" s="1"/>
  <c r="B35" i="25"/>
  <c r="D35" i="25" s="1"/>
  <c r="D27" i="3"/>
  <c r="E40" i="3" s="1"/>
  <c r="B64" i="33"/>
  <c r="B65" i="33" s="1"/>
  <c r="B66" i="33" s="1"/>
  <c r="B67" i="33" s="1"/>
  <c r="D27" i="33"/>
  <c r="I40" i="33" s="1"/>
  <c r="D26" i="33"/>
  <c r="D35" i="33"/>
  <c r="D39" i="33" s="1"/>
  <c r="H31" i="33"/>
  <c r="M151" i="27"/>
  <c r="M56" i="27"/>
  <c r="N150" i="27"/>
  <c r="N151" i="27" s="1"/>
  <c r="N54" i="27"/>
  <c r="N157" i="27"/>
  <c r="N57" i="27" s="1"/>
  <c r="M157" i="27"/>
  <c r="M57" i="27" s="1"/>
  <c r="M54" i="27"/>
  <c r="N138" i="27"/>
  <c r="N139" i="27" s="1"/>
  <c r="M139" i="27"/>
  <c r="K20" i="18"/>
  <c r="K21" i="18" s="1"/>
  <c r="D20" i="18"/>
  <c r="D21" i="18" s="1"/>
  <c r="J20" i="18"/>
  <c r="J21" i="18" s="1"/>
  <c r="E20" i="18"/>
  <c r="E21" i="18" s="1"/>
  <c r="G20" i="18"/>
  <c r="E6" i="5"/>
  <c r="C7" i="5"/>
  <c r="F6" i="5"/>
  <c r="E5" i="5"/>
  <c r="H6" i="5"/>
  <c r="E12" i="5"/>
  <c r="B3" i="5"/>
  <c r="B8" i="5" s="1"/>
  <c r="C16" i="5"/>
  <c r="F7" i="5"/>
  <c r="G6" i="5"/>
  <c r="I6" i="5"/>
  <c r="H5" i="5"/>
  <c r="G7" i="5"/>
  <c r="F5" i="5"/>
  <c r="J7" i="5"/>
  <c r="E8" i="5"/>
  <c r="C5" i="5"/>
  <c r="D6" i="5"/>
  <c r="D12" i="5"/>
  <c r="C6" i="5"/>
  <c r="G5" i="5"/>
  <c r="E16" i="5"/>
  <c r="D8" i="5"/>
  <c r="D5" i="5"/>
  <c r="D7" i="5"/>
  <c r="J6" i="5"/>
  <c r="I5" i="5"/>
  <c r="E7" i="5"/>
  <c r="J5" i="5"/>
  <c r="C12" i="5"/>
  <c r="I7" i="5"/>
  <c r="C8" i="5"/>
  <c r="S17" i="27" a="1"/>
  <c r="S17" i="27" s="1"/>
  <c r="Q35" i="27" a="1"/>
  <c r="Q35" i="27" s="1"/>
  <c r="S28" i="27" a="1"/>
  <c r="S28" i="27" s="1"/>
  <c r="Q28" i="27" a="1"/>
  <c r="Q28" i="27" s="1"/>
  <c r="V11" i="27" a="1"/>
  <c r="V11" i="27" s="1"/>
  <c r="Q22" i="27" a="1"/>
  <c r="Q22" i="27" s="1"/>
  <c r="S16" i="27" a="1"/>
  <c r="S16" i="27" s="1"/>
  <c r="S11" i="27" a="1"/>
  <c r="S11" i="27" s="1"/>
  <c r="Q27" i="27" a="1"/>
  <c r="Q27" i="27" s="1"/>
  <c r="R27" i="27" a="1"/>
  <c r="R27" i="27" s="1"/>
  <c r="S21" i="27" a="1"/>
  <c r="S21" i="27" s="1"/>
  <c r="R11" i="27" a="1"/>
  <c r="R11" i="27" s="1"/>
  <c r="R25" i="27" a="1"/>
  <c r="R25" i="27" s="1"/>
  <c r="S35" i="27" a="1"/>
  <c r="S35" i="27" s="1"/>
  <c r="W11" i="27" a="1"/>
  <c r="W11" i="27" s="1"/>
  <c r="S25" i="27" a="1"/>
  <c r="S25" i="27" s="1"/>
  <c r="R24" i="27" a="1"/>
  <c r="R24" i="27" s="1"/>
  <c r="R23" i="27" a="1"/>
  <c r="R23" i="27" s="1"/>
  <c r="Q23" i="27" a="1"/>
  <c r="Q23" i="27" s="1"/>
  <c r="Q26" i="27" a="1"/>
  <c r="Q26" i="27" s="1"/>
  <c r="R17" i="27" a="1"/>
  <c r="R17" i="27" s="1"/>
  <c r="R28" i="27" a="1"/>
  <c r="R28" i="27" s="1"/>
  <c r="X11" i="27" a="1"/>
  <c r="X11" i="27" s="1"/>
  <c r="S24" i="27" a="1"/>
  <c r="S24" i="27" s="1"/>
  <c r="Q24" i="27" a="1"/>
  <c r="Q24" i="27" s="1"/>
  <c r="Q34" i="27" a="1"/>
  <c r="Q34" i="27" s="1"/>
  <c r="Q33" i="27" a="1"/>
  <c r="Q33" i="27" s="1"/>
  <c r="R21" i="27" a="1"/>
  <c r="R21" i="27" s="1"/>
  <c r="S22" i="27" a="1"/>
  <c r="S22" i="27" s="1"/>
  <c r="R16" i="27" a="1"/>
  <c r="R16" i="27" s="1"/>
  <c r="S15" i="27" a="1"/>
  <c r="S15" i="27" s="1"/>
  <c r="S26" i="27" a="1"/>
  <c r="S26" i="27" s="1"/>
  <c r="T11" i="27" a="1"/>
  <c r="T11" i="27" s="1"/>
  <c r="Q16" i="27" a="1"/>
  <c r="Q16" i="27" s="1"/>
  <c r="Q11" i="27" a="1"/>
  <c r="Q11" i="27" s="1"/>
  <c r="Q17" i="27" a="1"/>
  <c r="Q17" i="27" s="1"/>
  <c r="S27" i="27" a="1"/>
  <c r="S27" i="27" s="1"/>
  <c r="R34" i="27" a="1"/>
  <c r="R34" i="27" s="1"/>
  <c r="U11" i="27" a="1"/>
  <c r="U11" i="27" s="1"/>
  <c r="R15" i="27" a="1"/>
  <c r="R15" i="27" s="1"/>
  <c r="R33" i="27" a="1"/>
  <c r="R33" i="27" s="1"/>
  <c r="R22" i="27" a="1"/>
  <c r="R22" i="27" s="1"/>
  <c r="S33" i="27" a="1"/>
  <c r="S33" i="27" s="1"/>
  <c r="P6" i="27"/>
  <c r="Q21" i="27" a="1"/>
  <c r="Q21" i="27" s="1"/>
  <c r="S23" i="27" a="1"/>
  <c r="S23" i="27" s="1"/>
  <c r="R35" i="27" a="1"/>
  <c r="R35" i="27" s="1"/>
  <c r="Q25" i="27" a="1"/>
  <c r="Q25" i="27" s="1"/>
  <c r="Q15" i="27" a="1"/>
  <c r="Q15" i="27" s="1"/>
  <c r="S34" i="27" a="1"/>
  <c r="S34" i="27" s="1"/>
  <c r="R26" i="27" a="1"/>
  <c r="R26" i="27" s="1"/>
  <c r="Q36" i="27" a="1"/>
  <c r="Q36" i="27" s="1"/>
  <c r="F41" i="27"/>
  <c r="G45" i="27"/>
  <c r="G41" i="27"/>
  <c r="H20" i="29"/>
  <c r="K20" i="29"/>
  <c r="J20" i="29"/>
  <c r="J21" i="29" s="1"/>
  <c r="G20" i="29"/>
  <c r="E20" i="29"/>
  <c r="E21" i="29" s="1"/>
  <c r="D20" i="29"/>
  <c r="D21" i="29" s="1"/>
  <c r="B62" i="3"/>
  <c r="B63" i="3" s="1"/>
  <c r="B64" i="3" s="1"/>
  <c r="B60" i="3"/>
  <c r="B59" i="3" s="1"/>
  <c r="B58" i="3" s="1"/>
  <c r="R36" i="27" a="1"/>
  <c r="R36" i="27" s="1"/>
  <c r="H45" i="27"/>
  <c r="H41" i="27"/>
  <c r="G31" i="3"/>
  <c r="D16" i="5"/>
  <c r="K22" i="6"/>
  <c r="L22" i="6" s="1"/>
  <c r="I45" i="27"/>
  <c r="I46" i="27" s="1"/>
  <c r="S36" i="27" a="1"/>
  <c r="S36" i="27" s="1"/>
  <c r="M193" i="27" l="1"/>
  <c r="N193" i="27" s="1"/>
  <c r="D20" i="34"/>
  <c r="D21" i="34" s="1"/>
  <c r="G20" i="34"/>
  <c r="H20" i="34"/>
  <c r="H21" i="34" s="1"/>
  <c r="E20" i="34"/>
  <c r="E21" i="34" s="1"/>
  <c r="J20" i="34"/>
  <c r="J21" i="34" s="1"/>
  <c r="K20" i="34"/>
  <c r="K21" i="34" s="1"/>
  <c r="R19" i="34"/>
  <c r="Q19" i="34"/>
  <c r="M21" i="34"/>
  <c r="G21" i="34"/>
  <c r="R20" i="29"/>
  <c r="R21" i="29" s="1"/>
  <c r="K21" i="29"/>
  <c r="T19" i="18"/>
  <c r="Q20" i="18"/>
  <c r="Q21" i="18" s="1"/>
  <c r="G21" i="18"/>
  <c r="R20" i="18"/>
  <c r="U20" i="18" s="1"/>
  <c r="Q20" i="29"/>
  <c r="Q21" i="29" s="1"/>
  <c r="K25" i="27"/>
  <c r="U25" i="27" s="1" a="1"/>
  <c r="U25" i="27" s="1"/>
  <c r="D27" i="18"/>
  <c r="O27" i="18"/>
  <c r="F46" i="27"/>
  <c r="G46" i="27"/>
  <c r="H46" i="27"/>
  <c r="E37" i="3"/>
  <c r="J61" i="27"/>
  <c r="K184" i="27"/>
  <c r="K61" i="27" s="1"/>
  <c r="R23" i="18"/>
  <c r="H21" i="29"/>
  <c r="C35" i="25"/>
  <c r="G40" i="3"/>
  <c r="F40" i="3"/>
  <c r="I40" i="3"/>
  <c r="H40" i="3"/>
  <c r="D40" i="3"/>
  <c r="L190" i="27"/>
  <c r="L114" i="27" s="1"/>
  <c r="G38" i="33" s="1"/>
  <c r="M198" i="27"/>
  <c r="M200" i="27" s="1"/>
  <c r="M208" i="27"/>
  <c r="M210" i="27" s="1"/>
  <c r="L81" i="27"/>
  <c r="L85" i="27" s="1"/>
  <c r="B63" i="33"/>
  <c r="B62" i="33" s="1"/>
  <c r="B61" i="33" s="1"/>
  <c r="G40" i="33"/>
  <c r="D40" i="33"/>
  <c r="F40" i="33"/>
  <c r="E40" i="33"/>
  <c r="H40" i="33"/>
  <c r="I31" i="33"/>
  <c r="P11" i="27" a="1"/>
  <c r="P11" i="27" s="1"/>
  <c r="L7" i="5"/>
  <c r="E9" i="5"/>
  <c r="E13" i="5" s="1"/>
  <c r="E14" i="5" s="1"/>
  <c r="B5" i="5"/>
  <c r="L5" i="5" s="1"/>
  <c r="E17" i="5"/>
  <c r="B16" i="5"/>
  <c r="B12" i="5"/>
  <c r="D9" i="5"/>
  <c r="D13" i="5" s="1"/>
  <c r="D14" i="5" s="1"/>
  <c r="B6" i="5"/>
  <c r="D17" i="5"/>
  <c r="C9" i="5"/>
  <c r="C13" i="5" s="1"/>
  <c r="C14" i="5" s="1"/>
  <c r="C17" i="5"/>
  <c r="B7" i="5"/>
  <c r="B9" i="5" s="1"/>
  <c r="P26" i="27" a="1"/>
  <c r="P26" i="27" s="1"/>
  <c r="P17" i="27" a="1"/>
  <c r="P17" i="27" s="1"/>
  <c r="P34" i="27" a="1"/>
  <c r="P34" i="27" s="1"/>
  <c r="P24" i="27" a="1"/>
  <c r="P24" i="27" s="1"/>
  <c r="P40" i="27" a="1"/>
  <c r="P40" i="27" s="1"/>
  <c r="P33" i="27" a="1"/>
  <c r="P33" i="27" s="1"/>
  <c r="P28" i="27" a="1"/>
  <c r="P28" i="27" s="1"/>
  <c r="P22" i="27" a="1"/>
  <c r="P22" i="27" s="1"/>
  <c r="P15" i="27" a="1"/>
  <c r="P15" i="27" s="1"/>
  <c r="P27" i="27" a="1"/>
  <c r="P27" i="27" s="1"/>
  <c r="P23" i="27" a="1"/>
  <c r="P23" i="27" s="1"/>
  <c r="P25" i="27" a="1"/>
  <c r="P25" i="27" s="1"/>
  <c r="P21" i="27" a="1"/>
  <c r="P21" i="27" s="1"/>
  <c r="P16" i="27" a="1"/>
  <c r="P16" i="27" s="1"/>
  <c r="P35" i="27" a="1"/>
  <c r="P35" i="27" s="1"/>
  <c r="P36" i="27" a="1"/>
  <c r="P36" i="27" s="1"/>
  <c r="D27" i="29"/>
  <c r="G21" i="29"/>
  <c r="Q23" i="29" s="1"/>
  <c r="H31" i="3"/>
  <c r="D27" i="34" l="1"/>
  <c r="R20" i="34"/>
  <c r="R21" i="34" s="1"/>
  <c r="Q20" i="34"/>
  <c r="Q21" i="34" s="1"/>
  <c r="R23" i="34"/>
  <c r="R23" i="29"/>
  <c r="D26" i="29" s="1"/>
  <c r="D29" i="29" s="1"/>
  <c r="K46" i="3" s="1"/>
  <c r="K48" i="3" s="1"/>
  <c r="K49" i="3" s="1"/>
  <c r="C47" i="3" s="1"/>
  <c r="T20" i="18"/>
  <c r="T21" i="18" s="1"/>
  <c r="R21" i="18"/>
  <c r="Q23" i="34"/>
  <c r="P23" i="34"/>
  <c r="Q23" i="18"/>
  <c r="D26" i="18" s="1"/>
  <c r="D29" i="18" s="1"/>
  <c r="P23" i="29"/>
  <c r="G27" i="18"/>
  <c r="J118" i="27"/>
  <c r="J122" i="27" s="1"/>
  <c r="I27" i="18"/>
  <c r="U21" i="18"/>
  <c r="L181" i="27"/>
  <c r="L183" i="27" s="1"/>
  <c r="J34" i="27"/>
  <c r="T34" i="27" s="1" a="1"/>
  <c r="T34" i="27" s="1"/>
  <c r="N190" i="27"/>
  <c r="N114" i="27" s="1"/>
  <c r="I38" i="33" s="1"/>
  <c r="M190" i="27"/>
  <c r="M114" i="27" s="1"/>
  <c r="H38" i="33" s="1"/>
  <c r="N198" i="27"/>
  <c r="N200" i="27" s="1"/>
  <c r="N208" i="27"/>
  <c r="N210" i="27" s="1"/>
  <c r="N81" i="27" s="1"/>
  <c r="N85" i="27" s="1"/>
  <c r="M81" i="27"/>
  <c r="M85" i="27" s="1"/>
  <c r="J33" i="27"/>
  <c r="T23" i="27" a="1"/>
  <c r="T23" i="27" s="1"/>
  <c r="J22" i="27"/>
  <c r="T22" i="27" s="1" a="1"/>
  <c r="T22" i="27" s="1"/>
  <c r="J15" i="27"/>
  <c r="T15" i="27" s="1" a="1"/>
  <c r="T15" i="27" s="1"/>
  <c r="E10" i="5"/>
  <c r="D10" i="5"/>
  <c r="C10" i="5"/>
  <c r="B13" i="5"/>
  <c r="B14" i="5" s="1"/>
  <c r="B17" i="5"/>
  <c r="B10" i="5"/>
  <c r="I31" i="3"/>
  <c r="D31" i="29" l="1"/>
  <c r="C50" i="33"/>
  <c r="D26" i="34"/>
  <c r="D29" i="34" s="1"/>
  <c r="D31" i="34" s="1"/>
  <c r="D36" i="34" s="1"/>
  <c r="F24" i="6" s="1"/>
  <c r="J35" i="27"/>
  <c r="T35" i="27" s="1" a="1"/>
  <c r="T35" i="27" s="1"/>
  <c r="L25" i="27"/>
  <c r="V25" i="27" s="1" a="1"/>
  <c r="V25" i="27" s="1"/>
  <c r="K118" i="27"/>
  <c r="K122" i="27" s="1"/>
  <c r="L184" i="27"/>
  <c r="M181" i="27" s="1"/>
  <c r="M183" i="27" s="1"/>
  <c r="J27" i="27"/>
  <c r="J16" i="27"/>
  <c r="T16" i="27" s="1" a="1"/>
  <c r="T16" i="27" s="1"/>
  <c r="T21" i="27" a="1"/>
  <c r="T21" i="27" s="1"/>
  <c r="K34" i="27"/>
  <c r="U34" i="27" s="1" a="1"/>
  <c r="U34" i="27" s="1"/>
  <c r="T33" i="27" a="1"/>
  <c r="T33" i="27" s="1"/>
  <c r="K33" i="27"/>
  <c r="K22" i="27"/>
  <c r="U22" i="27" s="1" a="1"/>
  <c r="U22" i="27" s="1"/>
  <c r="K23" i="27"/>
  <c r="U23" i="27" s="1" a="1"/>
  <c r="U23" i="27" s="1"/>
  <c r="K15" i="27"/>
  <c r="U15" i="27" s="1" a="1"/>
  <c r="U15" i="27" s="1"/>
  <c r="M25" i="27" l="1"/>
  <c r="W25" i="27" s="1" a="1"/>
  <c r="W25" i="27" s="1"/>
  <c r="L118" i="27"/>
  <c r="L122" i="27" s="1"/>
  <c r="L61" i="27"/>
  <c r="F8" i="5"/>
  <c r="F9" i="5" s="1"/>
  <c r="F10" i="5" s="1"/>
  <c r="J176" i="27"/>
  <c r="J17" i="27"/>
  <c r="J18" i="27" s="1"/>
  <c r="J170" i="27"/>
  <c r="J169" i="27" s="1"/>
  <c r="J164" i="27"/>
  <c r="K162" i="27" s="1"/>
  <c r="J146" i="27"/>
  <c r="K144" i="27" s="1"/>
  <c r="U21" i="27" a="1"/>
  <c r="U21" i="27" s="1"/>
  <c r="K27" i="27"/>
  <c r="K16" i="27"/>
  <c r="K170" i="27" s="1"/>
  <c r="L34" i="27"/>
  <c r="V34" i="27" s="1" a="1"/>
  <c r="V34" i="27" s="1"/>
  <c r="K35" i="27"/>
  <c r="U35" i="27" s="1" a="1"/>
  <c r="U35" i="27" s="1"/>
  <c r="U33" i="27" a="1"/>
  <c r="U33" i="27" s="1"/>
  <c r="L33" i="27"/>
  <c r="L23" i="27"/>
  <c r="V23" i="27" s="1" a="1"/>
  <c r="V23" i="27" s="1"/>
  <c r="L22" i="27"/>
  <c r="V22" i="27" s="1" a="1"/>
  <c r="V22" i="27" s="1"/>
  <c r="L21" i="27"/>
  <c r="L15" i="27"/>
  <c r="M184" i="27"/>
  <c r="N181" i="27" s="1"/>
  <c r="N183" i="27" s="1"/>
  <c r="M118" i="27" l="1"/>
  <c r="M122" i="27" s="1"/>
  <c r="T17" i="27" a="1"/>
  <c r="T17" i="27" s="1"/>
  <c r="K174" i="27"/>
  <c r="J175" i="27"/>
  <c r="J77" i="27"/>
  <c r="J24" i="27"/>
  <c r="J36" i="27" s="1"/>
  <c r="U16" i="27" a="1"/>
  <c r="U16" i="27" s="1"/>
  <c r="K23" i="6"/>
  <c r="L23" i="6" s="1"/>
  <c r="J55" i="27"/>
  <c r="J145" i="27"/>
  <c r="J72" i="27"/>
  <c r="J163" i="27"/>
  <c r="K168" i="27"/>
  <c r="K169" i="27" s="1"/>
  <c r="J73" i="27"/>
  <c r="G8" i="5"/>
  <c r="G9" i="5" s="1"/>
  <c r="G10" i="5" s="1"/>
  <c r="K17" i="27"/>
  <c r="K18" i="27" s="1"/>
  <c r="K146" i="27"/>
  <c r="K55" i="27" s="1"/>
  <c r="V21" i="27" a="1"/>
  <c r="V21" i="27" s="1"/>
  <c r="L27" i="27"/>
  <c r="K164" i="27"/>
  <c r="K163" i="27" s="1"/>
  <c r="K176" i="27"/>
  <c r="N34" i="27"/>
  <c r="X34" i="27" s="1" a="1"/>
  <c r="X34" i="27" s="1"/>
  <c r="M34" i="27"/>
  <c r="W34" i="27" s="1" a="1"/>
  <c r="W34" i="27" s="1"/>
  <c r="L35" i="27"/>
  <c r="V35" i="27" s="1" a="1"/>
  <c r="V35" i="27" s="1"/>
  <c r="V33" i="27" a="1"/>
  <c r="V33" i="27" s="1"/>
  <c r="N33" i="27"/>
  <c r="M33" i="27"/>
  <c r="N21" i="27"/>
  <c r="M21" i="27"/>
  <c r="N22" i="27"/>
  <c r="X22" i="27" s="1" a="1"/>
  <c r="X22" i="27" s="1"/>
  <c r="M22" i="27"/>
  <c r="W22" i="27" s="1" a="1"/>
  <c r="W22" i="27" s="1"/>
  <c r="N23" i="27"/>
  <c r="X23" i="27" s="1" a="1"/>
  <c r="X23" i="27" s="1"/>
  <c r="M23" i="27"/>
  <c r="W23" i="27" s="1" a="1"/>
  <c r="W23" i="27" s="1"/>
  <c r="L16" i="27"/>
  <c r="V15" i="27" a="1"/>
  <c r="V15" i="27" s="1"/>
  <c r="N15" i="27"/>
  <c r="M15" i="27"/>
  <c r="K73" i="27"/>
  <c r="L168" i="27"/>
  <c r="N25" i="27"/>
  <c r="X25" i="27" s="1" a="1"/>
  <c r="X25" i="27" s="1"/>
  <c r="M61" i="27"/>
  <c r="N184" i="27"/>
  <c r="N61" i="27" s="1"/>
  <c r="N118" i="27" l="1"/>
  <c r="N122" i="27" s="1"/>
  <c r="J39" i="27"/>
  <c r="T39" i="27" s="1"/>
  <c r="J28" i="27"/>
  <c r="J29" i="27" s="1"/>
  <c r="J30" i="27"/>
  <c r="K24" i="6"/>
  <c r="T24" i="27" a="1"/>
  <c r="T24" i="27" s="1"/>
  <c r="E33" i="33"/>
  <c r="E33" i="3"/>
  <c r="J103" i="27"/>
  <c r="J104" i="27" s="1"/>
  <c r="J109" i="27" s="1"/>
  <c r="K72" i="27"/>
  <c r="J78" i="27"/>
  <c r="J87" i="27" s="1"/>
  <c r="L162" i="27"/>
  <c r="U17" i="27" a="1"/>
  <c r="U17" i="27" s="1"/>
  <c r="L144" i="27"/>
  <c r="K145" i="27"/>
  <c r="K24" i="27"/>
  <c r="K36" i="27" s="1"/>
  <c r="K39" i="27" s="1"/>
  <c r="W21" i="27" a="1"/>
  <c r="W21" i="27" s="1"/>
  <c r="M27" i="27"/>
  <c r="X21" i="27" a="1"/>
  <c r="X21" i="27" s="1"/>
  <c r="N27" i="27"/>
  <c r="L174" i="27"/>
  <c r="K77" i="27"/>
  <c r="K175" i="27"/>
  <c r="M35" i="27"/>
  <c r="W35" i="27" s="1" a="1"/>
  <c r="W35" i="27" s="1"/>
  <c r="W33" i="27" a="1"/>
  <c r="W33" i="27" s="1"/>
  <c r="N35" i="27"/>
  <c r="X35" i="27" s="1" a="1"/>
  <c r="X35" i="27" s="1"/>
  <c r="X33" i="27" a="1"/>
  <c r="X33" i="27" s="1"/>
  <c r="M16" i="27"/>
  <c r="W15" i="27" a="1"/>
  <c r="W15" i="27" s="1"/>
  <c r="N16" i="27"/>
  <c r="X15" i="27" a="1"/>
  <c r="X15" i="27" s="1"/>
  <c r="L164" i="27"/>
  <c r="L170" i="27"/>
  <c r="L146" i="27"/>
  <c r="L176" i="27"/>
  <c r="L17" i="27"/>
  <c r="H8" i="5"/>
  <c r="H9" i="5" s="1"/>
  <c r="H10" i="5" s="1"/>
  <c r="V16" i="27" a="1"/>
  <c r="V16" i="27" s="1"/>
  <c r="J192" i="27"/>
  <c r="J63" i="27" s="1"/>
  <c r="T26" i="27" a="1"/>
  <c r="T26" i="27" s="1"/>
  <c r="J40" i="27" l="1"/>
  <c r="J41" i="27" s="1"/>
  <c r="F34" i="3"/>
  <c r="F34" i="33"/>
  <c r="E34" i="3"/>
  <c r="E34" i="33"/>
  <c r="K30" i="27"/>
  <c r="F33" i="33"/>
  <c r="U24" i="27" a="1"/>
  <c r="U24" i="27" s="1"/>
  <c r="K78" i="27"/>
  <c r="K87" i="27" s="1"/>
  <c r="U39" i="27"/>
  <c r="F33" i="3"/>
  <c r="K103" i="27"/>
  <c r="K104" i="27" s="1"/>
  <c r="K109" i="27" s="1"/>
  <c r="F36" i="33" s="1"/>
  <c r="L18" i="27"/>
  <c r="V17" i="27" a="1"/>
  <c r="V17" i="27" s="1"/>
  <c r="L24" i="27"/>
  <c r="L36" i="27" s="1"/>
  <c r="L39" i="27" s="1"/>
  <c r="L77" i="27"/>
  <c r="M174" i="27"/>
  <c r="L175" i="27"/>
  <c r="L55" i="27"/>
  <c r="M144" i="27"/>
  <c r="L145" i="27"/>
  <c r="L73" i="27"/>
  <c r="M168" i="27"/>
  <c r="L169" i="27"/>
  <c r="L72" i="27"/>
  <c r="M162" i="27"/>
  <c r="L163" i="27"/>
  <c r="X16" i="27" a="1"/>
  <c r="X16" i="27" s="1"/>
  <c r="N164" i="27"/>
  <c r="N72" i="27" s="1"/>
  <c r="N170" i="27"/>
  <c r="N73" i="27" s="1"/>
  <c r="N146" i="27"/>
  <c r="N55" i="27" s="1"/>
  <c r="N17" i="27"/>
  <c r="N176" i="27"/>
  <c r="J8" i="5"/>
  <c r="J9" i="5" s="1"/>
  <c r="J10" i="5" s="1"/>
  <c r="W16" i="27" a="1"/>
  <c r="W16" i="27" s="1"/>
  <c r="AF16" i="27" s="1"/>
  <c r="I8" i="5"/>
  <c r="I9" i="5" s="1"/>
  <c r="I10" i="5" s="1"/>
  <c r="M146" i="27"/>
  <c r="M164" i="27"/>
  <c r="M17" i="27"/>
  <c r="M170" i="27"/>
  <c r="M176" i="27"/>
  <c r="E36" i="3"/>
  <c r="E36" i="33"/>
  <c r="J115" i="27"/>
  <c r="E38" i="3"/>
  <c r="K189" i="27"/>
  <c r="K191" i="27" s="1"/>
  <c r="J66" i="27"/>
  <c r="F12" i="5"/>
  <c r="F13" i="5" s="1"/>
  <c r="F14" i="5" s="1"/>
  <c r="T27" i="27" a="1"/>
  <c r="T27" i="27" s="1"/>
  <c r="K26" i="27" l="1"/>
  <c r="K28" i="27" s="1"/>
  <c r="K110" i="27"/>
  <c r="G34" i="3"/>
  <c r="G34" i="33"/>
  <c r="F36" i="3"/>
  <c r="L78" i="27"/>
  <c r="L87" i="27" s="1"/>
  <c r="M175" i="27"/>
  <c r="N174" i="27"/>
  <c r="N175" i="27" s="1"/>
  <c r="M77" i="27"/>
  <c r="M169" i="27"/>
  <c r="N168" i="27"/>
  <c r="N169" i="27" s="1"/>
  <c r="M73" i="27"/>
  <c r="M24" i="27"/>
  <c r="M36" i="27" s="1"/>
  <c r="M18" i="27"/>
  <c r="W17" i="27" a="1"/>
  <c r="W17" i="27" s="1"/>
  <c r="N162" i="27"/>
  <c r="N163" i="27" s="1"/>
  <c r="M72" i="27"/>
  <c r="M163" i="27"/>
  <c r="M145" i="27"/>
  <c r="M55" i="27"/>
  <c r="N144" i="27"/>
  <c r="N145" i="27" s="1"/>
  <c r="N77" i="27"/>
  <c r="N78" i="27" s="1"/>
  <c r="N87" i="27" s="1"/>
  <c r="N24" i="27"/>
  <c r="N36" i="27" s="1"/>
  <c r="X17" i="27" a="1"/>
  <c r="X17" i="27" s="1"/>
  <c r="N18" i="27"/>
  <c r="L103" i="27"/>
  <c r="L104" i="27" s="1"/>
  <c r="L109" i="27" s="1"/>
  <c r="V39" i="27"/>
  <c r="G33" i="33"/>
  <c r="L30" i="27"/>
  <c r="V24" i="27" a="1"/>
  <c r="V24" i="27" s="1"/>
  <c r="G33" i="3"/>
  <c r="E35" i="33"/>
  <c r="E39" i="33" s="1"/>
  <c r="E43" i="33" s="1"/>
  <c r="K192" i="27"/>
  <c r="L24" i="6"/>
  <c r="T28" i="27" a="1"/>
  <c r="T28" i="27" s="1"/>
  <c r="T36" i="27" a="1"/>
  <c r="T36" i="27" s="1"/>
  <c r="U26" i="27" l="1" a="1"/>
  <c r="U26" i="27" s="1"/>
  <c r="M39" i="27"/>
  <c r="H34" i="3" s="1"/>
  <c r="N39" i="27"/>
  <c r="I34" i="3" s="1"/>
  <c r="F37" i="33"/>
  <c r="F37" i="3"/>
  <c r="H34" i="33"/>
  <c r="M103" i="27"/>
  <c r="M104" i="27" s="1"/>
  <c r="M109" i="27" s="1"/>
  <c r="M78" i="27"/>
  <c r="M87" i="27" s="1"/>
  <c r="N103" i="27"/>
  <c r="G36" i="3"/>
  <c r="G36" i="33"/>
  <c r="I33" i="3"/>
  <c r="I33" i="33"/>
  <c r="N30" i="27"/>
  <c r="X24" i="27" a="1"/>
  <c r="X24" i="27" s="1"/>
  <c r="M30" i="27"/>
  <c r="H33" i="3"/>
  <c r="H33" i="33"/>
  <c r="W24" i="27" a="1"/>
  <c r="W24" i="27" s="1"/>
  <c r="K115" i="27"/>
  <c r="F38" i="3"/>
  <c r="L189" i="27"/>
  <c r="K63" i="27"/>
  <c r="K66" i="27" s="1"/>
  <c r="E35" i="3"/>
  <c r="E39" i="3" s="1"/>
  <c r="G12" i="5"/>
  <c r="G13" i="5" s="1"/>
  <c r="G14" i="5" s="1"/>
  <c r="K29" i="27"/>
  <c r="U27" i="27" a="1"/>
  <c r="U27" i="27" s="1"/>
  <c r="W39" i="27" l="1"/>
  <c r="I34" i="33"/>
  <c r="X39" i="27"/>
  <c r="N104" i="27"/>
  <c r="N109" i="27" s="1"/>
  <c r="I36" i="3" s="1"/>
  <c r="E43" i="3"/>
  <c r="H36" i="3"/>
  <c r="H36" i="33"/>
  <c r="F35" i="33"/>
  <c r="F39" i="33" s="1"/>
  <c r="F43" i="33" s="1"/>
  <c r="T40" i="27" a="1"/>
  <c r="T40" i="27" s="1"/>
  <c r="J108" i="27"/>
  <c r="J111" i="27" s="1"/>
  <c r="J125" i="27" s="1"/>
  <c r="F16" i="5"/>
  <c r="F17" i="5" s="1"/>
  <c r="K25" i="6"/>
  <c r="L25" i="6" s="1"/>
  <c r="J45" i="27"/>
  <c r="L191" i="27"/>
  <c r="U28" i="27" a="1"/>
  <c r="U28" i="27" s="1"/>
  <c r="D32" i="18" l="1"/>
  <c r="J47" i="27"/>
  <c r="L26" i="27"/>
  <c r="L28" i="27" s="1"/>
  <c r="L110" i="27"/>
  <c r="I36" i="33"/>
  <c r="J126" i="27"/>
  <c r="J130" i="27"/>
  <c r="J131" i="27" s="1"/>
  <c r="J132" i="27" s="1"/>
  <c r="L192" i="27"/>
  <c r="K40" i="27"/>
  <c r="K41" i="27" s="1"/>
  <c r="U36" i="27" a="1"/>
  <c r="U36" i="27" s="1"/>
  <c r="F35" i="3"/>
  <c r="F39" i="3" s="1"/>
  <c r="F43" i="3" s="1"/>
  <c r="K44" i="27" l="1"/>
  <c r="J92" i="27"/>
  <c r="J96" i="27" s="1"/>
  <c r="J98" i="27" s="1"/>
  <c r="V26" i="27" a="1"/>
  <c r="V26" i="27" s="1"/>
  <c r="D34" i="6"/>
  <c r="E34" i="6" s="1"/>
  <c r="G37" i="33"/>
  <c r="G37" i="3"/>
  <c r="J52" i="27"/>
  <c r="D33" i="34" s="1"/>
  <c r="D34" i="34" s="1"/>
  <c r="K124" i="27"/>
  <c r="L115" i="27"/>
  <c r="G38" i="3"/>
  <c r="M189" i="27"/>
  <c r="L63" i="27"/>
  <c r="L66" i="27" s="1"/>
  <c r="V27" i="27" a="1"/>
  <c r="V27" i="27" s="1"/>
  <c r="H12" i="5"/>
  <c r="H13" i="5" s="1"/>
  <c r="H14" i="5" s="1"/>
  <c r="L29" i="27"/>
  <c r="K45" i="27"/>
  <c r="U40" i="27" a="1"/>
  <c r="U40" i="27" s="1"/>
  <c r="K108" i="27"/>
  <c r="K111" i="27" s="1"/>
  <c r="G16" i="5"/>
  <c r="G17" i="5" s="1"/>
  <c r="K47" i="27" l="1"/>
  <c r="L44" i="27" s="1"/>
  <c r="B17" i="32"/>
  <c r="G35" i="33"/>
  <c r="G39" i="33" s="1"/>
  <c r="G43" i="33" s="1"/>
  <c r="J58" i="27"/>
  <c r="J68" i="27" s="1"/>
  <c r="J100" i="27" s="1"/>
  <c r="J127" i="27"/>
  <c r="D33" i="29"/>
  <c r="V28" i="27" a="1"/>
  <c r="V28" i="27" s="1"/>
  <c r="G35" i="3"/>
  <c r="G39" i="3" s="1"/>
  <c r="G43" i="3" s="1"/>
  <c r="M191" i="27"/>
  <c r="K130" i="27"/>
  <c r="K131" i="27" s="1"/>
  <c r="K132" i="27" s="1"/>
  <c r="K125" i="27"/>
  <c r="K126" i="27" s="1"/>
  <c r="B18" i="32" l="1"/>
  <c r="B20" i="32" s="1"/>
  <c r="K92" i="27"/>
  <c r="K96" i="27" s="1"/>
  <c r="K98" i="27" s="1"/>
  <c r="M26" i="27"/>
  <c r="M28" i="27" s="1"/>
  <c r="M110" i="27"/>
  <c r="D34" i="29"/>
  <c r="D36" i="29" s="1"/>
  <c r="M192" i="27"/>
  <c r="M115" i="27" s="1"/>
  <c r="L40" i="27"/>
  <c r="V36" i="27" a="1"/>
  <c r="V36" i="27" s="1"/>
  <c r="K52" i="27"/>
  <c r="L124" i="27"/>
  <c r="F23" i="6" l="1"/>
  <c r="E23" i="6" s="1"/>
  <c r="D35" i="6" s="1"/>
  <c r="E35" i="6" s="1"/>
  <c r="W26" i="27" a="1"/>
  <c r="W26" i="27" s="1"/>
  <c r="H37" i="3"/>
  <c r="H37" i="33"/>
  <c r="E24" i="6"/>
  <c r="D36" i="6" s="1"/>
  <c r="E36" i="6" s="1"/>
  <c r="G24" i="6"/>
  <c r="N189" i="27"/>
  <c r="N191" i="27" s="1"/>
  <c r="H38" i="3"/>
  <c r="M63" i="27"/>
  <c r="M66" i="27" s="1"/>
  <c r="M29" i="27"/>
  <c r="W27" i="27" a="1"/>
  <c r="W27" i="27" s="1"/>
  <c r="I12" i="5"/>
  <c r="I13" i="5" s="1"/>
  <c r="I14" i="5" s="1"/>
  <c r="L41" i="27"/>
  <c r="H16" i="5"/>
  <c r="H17" i="5" s="1"/>
  <c r="L108" i="27"/>
  <c r="L111" i="27" s="1"/>
  <c r="V40" i="27" a="1"/>
  <c r="V40" i="27" s="1"/>
  <c r="L45" i="27"/>
  <c r="K127" i="27"/>
  <c r="K58" i="27"/>
  <c r="K68" i="27" s="1"/>
  <c r="K100" i="27" s="1"/>
  <c r="G23" i="6" l="1"/>
  <c r="L47" i="27"/>
  <c r="N26" i="27"/>
  <c r="N28" i="27" s="1"/>
  <c r="N110" i="27"/>
  <c r="H35" i="33"/>
  <c r="H39" i="33" s="1"/>
  <c r="H43" i="33" s="1"/>
  <c r="L130" i="27"/>
  <c r="L131" i="27" s="1"/>
  <c r="L132" i="27" s="1"/>
  <c r="L125" i="27"/>
  <c r="L126" i="27" s="1"/>
  <c r="M124" i="27" s="1"/>
  <c r="W28" i="27" a="1"/>
  <c r="W28" i="27" s="1"/>
  <c r="H35" i="3"/>
  <c r="H39" i="3" s="1"/>
  <c r="H43" i="3" s="1"/>
  <c r="N192" i="27"/>
  <c r="M44" i="27" l="1"/>
  <c r="L92" i="27"/>
  <c r="L96" i="27" s="1"/>
  <c r="L98" i="27" s="1"/>
  <c r="X26" i="27" a="1"/>
  <c r="X26" i="27" s="1"/>
  <c r="I37" i="3"/>
  <c r="I37" i="33"/>
  <c r="N63" i="27"/>
  <c r="N66" i="27" s="1"/>
  <c r="L52" i="27"/>
  <c r="L58" i="27" s="1"/>
  <c r="L68" i="27" s="1"/>
  <c r="J12" i="5"/>
  <c r="J13" i="5" s="1"/>
  <c r="J14" i="5" s="1"/>
  <c r="N29" i="27"/>
  <c r="X27" i="27" a="1"/>
  <c r="X27" i="27" s="1"/>
  <c r="AF27" i="27" s="1"/>
  <c r="M40" i="27"/>
  <c r="W36" i="27" a="1"/>
  <c r="W36" i="27" s="1"/>
  <c r="L100" i="27" l="1"/>
  <c r="I35" i="33"/>
  <c r="I39" i="33" s="1"/>
  <c r="N115" i="27"/>
  <c r="I38" i="3"/>
  <c r="L127" i="27"/>
  <c r="M45" i="27"/>
  <c r="M41" i="27"/>
  <c r="M108" i="27"/>
  <c r="M111" i="27" s="1"/>
  <c r="I16" i="5"/>
  <c r="I17" i="5" s="1"/>
  <c r="W40" i="27" a="1"/>
  <c r="W40" i="27" s="1"/>
  <c r="X28" i="27" a="1"/>
  <c r="X28" i="27" s="1"/>
  <c r="M47" i="27" l="1"/>
  <c r="I43" i="33"/>
  <c r="C52" i="33" s="1"/>
  <c r="D52" i="33" s="1"/>
  <c r="X36" i="27" a="1"/>
  <c r="X36" i="27" s="1"/>
  <c r="N40" i="27"/>
  <c r="M130" i="27"/>
  <c r="M131" i="27" s="1"/>
  <c r="M132" i="27" s="1"/>
  <c r="M125" i="27"/>
  <c r="M126" i="27" s="1"/>
  <c r="I35" i="3"/>
  <c r="I39" i="3" s="1"/>
  <c r="N44" i="27" l="1"/>
  <c r="M92" i="27"/>
  <c r="M96" i="27" s="1"/>
  <c r="M98" i="27" s="1"/>
  <c r="C51" i="33"/>
  <c r="D50" i="33"/>
  <c r="I43" i="3"/>
  <c r="C49" i="3" s="1"/>
  <c r="D49" i="3" s="1"/>
  <c r="N124" i="27"/>
  <c r="M52" i="27"/>
  <c r="N45" i="27"/>
  <c r="J16" i="5"/>
  <c r="J17" i="5" s="1"/>
  <c r="X40" i="27" a="1"/>
  <c r="X40" i="27" s="1"/>
  <c r="N41" i="27"/>
  <c r="N108" i="27"/>
  <c r="N111" i="27" s="1"/>
  <c r="N47" i="27" l="1"/>
  <c r="N92" i="27" s="1"/>
  <c r="D51" i="33"/>
  <c r="D53" i="33" s="1"/>
  <c r="D55" i="33" s="1"/>
  <c r="C53" i="33"/>
  <c r="C55" i="33" s="1"/>
  <c r="C57" i="33" s="1"/>
  <c r="N125" i="27"/>
  <c r="N126" i="27" s="1"/>
  <c r="N52" i="27" s="1"/>
  <c r="N130" i="27"/>
  <c r="N131" i="27" s="1"/>
  <c r="N132" i="27" s="1"/>
  <c r="D47" i="3"/>
  <c r="C48" i="3"/>
  <c r="M127" i="27"/>
  <c r="M58" i="27"/>
  <c r="M68" i="27" s="1"/>
  <c r="M100" i="27" s="1"/>
  <c r="D57" i="33" l="1"/>
  <c r="N96" i="27"/>
  <c r="N98" i="27" s="1"/>
  <c r="N58" i="27"/>
  <c r="N68" i="27" s="1"/>
  <c r="N127" i="27"/>
  <c r="D48" i="3"/>
  <c r="D50" i="3" s="1"/>
  <c r="D52" i="3" s="1"/>
  <c r="H230" i="27" s="1"/>
  <c r="C50" i="3"/>
  <c r="C52" i="3" s="1"/>
  <c r="F230" i="27" s="1"/>
  <c r="B60" i="33" l="1"/>
  <c r="F22" i="6"/>
  <c r="N100" i="27"/>
  <c r="H214" i="27"/>
  <c r="H222" i="27"/>
  <c r="F214" i="27"/>
  <c r="F222" i="27"/>
  <c r="C54" i="3"/>
  <c r="G230" i="27" s="1"/>
  <c r="G214" i="27" l="1"/>
  <c r="G222" i="27"/>
  <c r="D54" i="3"/>
  <c r="F25" i="6" l="1"/>
  <c r="F33" i="6" s="1"/>
  <c r="P141" i="27"/>
  <c r="Q174" i="27" s="1"/>
  <c r="I230" i="27"/>
  <c r="I214" i="27"/>
  <c r="I222" i="27"/>
  <c r="B57" i="3"/>
  <c r="G22" i="6" l="1"/>
  <c r="E22" i="6"/>
  <c r="H36" i="6" l="1"/>
  <c r="G25" i="6"/>
  <c r="E25" i="6"/>
  <c r="D33" i="6"/>
  <c r="E33" i="6" s="1"/>
  <c r="H33" i="6"/>
  <c r="H35" i="6"/>
  <c r="H34" i="6"/>
  <c r="F28" i="6"/>
  <c r="F29" i="6" s="1"/>
  <c r="F36" i="6" l="1"/>
  <c r="G36" i="6" s="1"/>
  <c r="G33" i="6"/>
  <c r="F34" i="6"/>
  <c r="G34" i="6" s="1"/>
  <c r="F35" i="6"/>
  <c r="G35"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tc={7FAE66BA-6DB7-4ECD-8697-67FEA1C66A05}</author>
    <author>tc={15B8CD1C-1384-4DEC-BF82-9A81D31E3F1E}</author>
    <author>tc={0E1972D8-A8CF-4029-AB06-3D779CA4E7A0}</author>
    <author>tc={316ADEF6-917B-40F7-9D79-EA5550114E09}</author>
    <author>tc={9C2A2920-93A4-4062-AF7C-FCCB88F09983}</author>
    <author>tc={D5373565-6335-450B-8BDA-6DD0C3779410}</author>
    <author>tc={EB1327CE-AD20-47FC-B9DB-2B74E2E4052B}</author>
  </authors>
  <commentList>
    <comment ref="B13" authorId="0" shapeId="0" xr:uid="{7FAE66BA-6DB7-4ECD-8697-67FEA1C66A05}">
      <text>
        <t>[Threaded comment]
Your version of Excel allows you to read this threaded comment; however, any edits to it will get removed if the file is opened in a newer version of Excel. Learn more: https://go.microsoft.com/fwlink/?linkid=870924
Comment:
    Use WACC function on Bloomberg. Expand details on cost of debt and use the "debt adjustment factor".</t>
      </text>
    </comment>
    <comment ref="B14" authorId="1" shapeId="0" xr:uid="{15B8CD1C-1384-4DEC-BF82-9A81D31E3F1E}">
      <text>
        <t>[Threaded comment]
Your version of Excel allows you to read this threaded comment; however, any edits to it will get removed if the file is opened in a newer version of Excel. Learn more: https://go.microsoft.com/fwlink/?linkid=870924
Comment:
    Based on assumption from company fillings &amp; historical average.
Bloomberg's WACC function can also give insight on the approximate value.</t>
      </text>
    </comment>
    <comment ref="C14" authorId="2" shapeId="0" xr:uid="{0E1972D8-A8CF-4029-AB06-3D779CA4E7A0}">
      <text>
        <t>[Threaded comment]
Your version of Excel allows you to read this threaded comment; however, any edits to it will get removed if the file is opened in a newer version of Excel. Learn more: https://go.microsoft.com/fwlink/?linkid=870924
Comment:
    Earnings report cited effective tax rate of 21%</t>
      </text>
    </comment>
    <comment ref="B19" authorId="3" shapeId="0" xr:uid="{316ADEF6-917B-40F7-9D79-EA5550114E09}">
      <text>
        <t>[Threaded comment]
Your version of Excel allows you to read this threaded comment; however, any edits to it will get removed if the file is opened in a newer version of Excel. Learn more: https://go.microsoft.com/fwlink/?linkid=870924
Comment:
    Note: This is an extra risk premium on top of the US Equity Risk Premium.
In most cases, this will be 0% (since we invest in US Equities). If a US company has significant international sales, we may consider adding in an additional risk premium here.</t>
      </text>
    </comment>
    <comment ref="B20" authorId="4" shapeId="0" xr:uid="{9C2A2920-93A4-4062-AF7C-FCCB88F09983}">
      <text>
        <t>[Threaded comment]
Your version of Excel allows you to read this threaded comment; however, any edits to it will get removed if the file is opened in a newer version of Excel. Learn more: https://go.microsoft.com/fwlink/?linkid=870924
Comment:
    Additional risk premium for smaller companies.</t>
      </text>
    </comment>
    <comment ref="B21" authorId="5" shapeId="0" xr:uid="{D5373565-6335-450B-8BDA-6DD0C3779410}">
      <text>
        <t>[Threaded comment]
Your version of Excel allows you to read this threaded comment; however, any edits to it will get removed if the file is opened in a newer version of Excel. Learn more: https://go.microsoft.com/fwlink/?linkid=870924
Comment:
    Regression (levered) beta vs. the Russell 3000 Index.
We use the Russell 3K as the base, since this is our portfolio's benchmark.</t>
      </text>
    </comment>
    <comment ref="B25" authorId="6" shapeId="0" xr:uid="{EB1327CE-AD20-47FC-B9DB-2B74E2E4052B}">
      <text>
        <t>[Threaded comment]
Your version of Excel allows you to read this threaded comment; however, any edits to it will get removed if the file is opened in a newer version of Excel. Learn more: https://go.microsoft.com/fwlink/?linkid=870924
Comment:
    Must be entered in the same units as the underlying financial data (i.e. all in Thousands, Millions, etc.)</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tc={87B44FF1-835F-48CD-B211-BFDC197E6CB1}</author>
    <author>tc={11394B89-6184-493B-A994-925B563D6BE7}</author>
    <author>tc={5CFCEE4F-7429-41A3-83E2-0C18054E8187}</author>
    <author>tc={AA4273B6-B36C-4843-A5C3-1F8ABB9647EC}</author>
    <author>tc={01147EA1-6C3A-476A-9986-B69F7B6D379B}</author>
    <author>tc={4E17A871-140C-4F0B-B35F-794DEF022E8D}</author>
    <author>tc={DDB6D32A-1D69-4747-9A3C-AA893F7AFDBC}</author>
    <author>tc={C4D6E49F-DC36-4918-BF23-B21CA80AC212}</author>
    <author>tc={853F5B4C-D235-4988-BAA7-D95C8946A5D0}</author>
    <author>tc={C9943A49-1176-4FEE-8E76-B475E00BACA2}</author>
    <author>tc={08BA35F0-BB4E-4194-95D7-842FB1605926}</author>
    <author>tc={778F1D4F-5238-4D63-B6FB-A65BB1B812C6}</author>
    <author>tc={23539609-81A9-46E2-9142-AA485C480600}</author>
    <author>tc={A095366A-69C9-48CE-92F2-10E9A24067B5}</author>
    <author>tc={FAE78D81-EF7C-4D3C-AA6A-80EAD8F622E8}</author>
    <author>tc={AABFFF60-289F-4A8D-9FD0-5FE5967A174B}</author>
    <author>tc={2487323F-B302-42FB-8A9F-665EBA57D50C}</author>
    <author>tc={C6693425-A34B-45DF-BA50-F97E57E8C13A}</author>
    <author>tc={0FC46834-0EE0-4E6B-9AF8-BF553D880585}</author>
    <author>tc={511F60FC-6802-4CB3-9AD6-216549A00F42}</author>
    <author>tc={E5E1F79C-3076-46C1-A83E-029D69AA99A5}</author>
    <author>tc={011630FE-28A9-4AC4-AE83-859471B1DCC9}</author>
    <author>tc={59121CB9-C33E-4C62-909C-438DB382DF5E}</author>
    <author>tc={515052DB-371D-45A2-AB28-41AA8739BE13}</author>
    <author>tc={4E6C9C25-D677-4E89-A424-96BDC8DAE370}</author>
    <author>tc={0277329B-D894-4E4A-9B79-7DDD20783211}</author>
    <author>tc={A63E2080-0A3F-480C-B3EC-E466F4842BFD}</author>
    <author>tc={8350ADA5-BD3A-4897-B28D-E2E4E3CA84D5}</author>
    <author>tc={8287B55F-0CD3-45F8-A3F4-6A1325977465}</author>
  </authors>
  <commentList>
    <comment ref="D6" authorId="0" shapeId="0" xr:uid="{87B44FF1-835F-48CD-B211-BFDC197E6CB1}">
      <text>
        <t>[Threaded comment]
Your version of Excel allows you to read this threaded comment; however, any edits to it will get removed if the file is opened in a newer version of Excel. Learn more: https://go.microsoft.com/fwlink/?linkid=870924
Comment:
    Analyst may need to add or delete rows to reflect company-specific financial statements. As along as summation rows are not adjusted, the template will work.</t>
      </text>
    </comment>
    <comment ref="E6" authorId="1" shapeId="0" xr:uid="{11394B89-6184-493B-A994-925B563D6BE7}">
      <text>
        <t>[Threaded comment]
Your version of Excel allows you to read this threaded comment; however, any edits to it will get removed if the file is opened in a newer version of Excel. Learn more: https://go.microsoft.com/fwlink/?linkid=870924
Comment:
    NEVER DELETE THIS COLUMN
(It is structural for workbook automation).</t>
      </text>
    </comment>
    <comment ref="F6" authorId="2" shapeId="0" xr:uid="{5CFCEE4F-7429-41A3-83E2-0C18054E8187}">
      <text>
        <t>[Threaded comment]
Your version of Excel allows you to read this threaded comment; however, any edits to it will get removed if the file is opened in a newer version of Excel. Learn more: https://go.microsoft.com/fwlink/?linkid=870924
Comment:
    First Historical Date</t>
      </text>
    </comment>
    <comment ref="J6" authorId="3" shapeId="0" xr:uid="{AA4273B6-B36C-4843-A5C3-1F8ABB9647EC}">
      <text>
        <t>[Threaded comment]
Your version of Excel allows you to read this threaded comment; however, any edits to it will get removed if the file is opened in a newer version of Excel. Learn more: https://go.microsoft.com/fwlink/?linkid=870924
Comment:
    Change the forecasting years if the annual reports are already out. The expectation is at least 5 years of forecasts</t>
      </text>
    </comment>
    <comment ref="O6" authorId="4" shapeId="0" xr:uid="{01147EA1-6C3A-476A-9986-B69F7B6D379B}">
      <text>
        <t>[Threaded comment]
Your version of Excel allows you to read this threaded comment; however, any edits to it will get removed if the file is opened in a newer version of Excel. Learn more: https://go.microsoft.com/fwlink/?linkid=870924
Comment:
    NEVER DELETE THIS COLUMN
(It is structural for workbook automation).</t>
      </text>
    </comment>
    <comment ref="AF11" authorId="5" shapeId="0" xr:uid="{4E17A871-140C-4F0B-B35F-794DEF022E8D}">
      <text>
        <t>[Threaded comment]
Your version of Excel allows you to read this threaded comment; however, any edits to it will get removed if the file is opened in a newer version of Excel. Learn more: https://go.microsoft.com/fwlink/?linkid=870924
Comment:
    Use this as the median case for sensitivity analysis to sales growth rate. Let there be a smoother scaling from last value to terminal value.</t>
      </text>
    </comment>
    <comment ref="D14" authorId="6" shapeId="0" xr:uid="{DDB6D32A-1D69-4747-9A3C-AA893F7AFDBC}">
      <text>
        <t xml:space="preserve">[Threaded comment]
Your version of Excel allows you to read this threaded comment; however, any edits to it will get removed if the file is opened in a newer version of Excel. Learn more: https://go.microsoft.com/fwlink/?linkid=870924
Comment:
    You can remove COGS 2, if the company only has one COGS segment. </t>
      </text>
    </comment>
    <comment ref="Z15" authorId="7" shapeId="0" xr:uid="{C4D6E49F-DC36-4918-BF23-B21CA80AC212}">
      <text>
        <t>[Threaded comment]
Your version of Excel allows you to read this threaded comment; however, any edits to it will get removed if the file is opened in a newer version of Excel. Learn more: https://go.microsoft.com/fwlink/?linkid=870924
Comment:
    This is percent of total revenues. 
COGS/Net Revenue</t>
      </text>
    </comment>
    <comment ref="AF16" authorId="8" shapeId="0" xr:uid="{853F5B4C-D235-4988-BAA7-D95C8946A5D0}">
      <text>
        <t>[Threaded comment]
Your version of Excel allows you to read this threaded comment; however, any edits to it will get removed if the file is opened in a newer version of Excel. Learn more: https://go.microsoft.com/fwlink/?linkid=870924
Comment:
    Use this as the median case for sensitivity analysis for COGS% change</t>
      </text>
    </comment>
    <comment ref="AF27" authorId="9" shapeId="0" xr:uid="{C9943A49-1176-4FEE-8E76-B475E00BACA2}">
      <text>
        <t>[Threaded comment]
Your version of Excel allows you to read this threaded comment; however, any edits to it will get removed if the file is opened in a newer version of Excel. Learn more: https://go.microsoft.com/fwlink/?linkid=870924
Comment:
    Use this as the median case for sensitivity analysis for opex% change</t>
      </text>
    </comment>
    <comment ref="J46" authorId="10" shapeId="0" xr:uid="{08BA35F0-BB4E-4194-95D7-842FB1605926}">
      <text>
        <t>[Threaded comment]
Your version of Excel allows you to read this threaded comment; however, any edits to it will get removed if the file is opened in a newer version of Excel. Learn more: https://go.microsoft.com/fwlink/?linkid=870924
Comment:
    See how the company derives the adjusted Ebitda. Or use dividend payout ratio. Use your creativity</t>
      </text>
    </comment>
    <comment ref="D47" authorId="11" shapeId="0" xr:uid="{778F1D4F-5238-4D63-B6FB-A65BB1B812C6}">
      <text>
        <t>[Threaded comment]
Your version of Excel allows you to read this threaded comment; however, any edits to it will get removed if the file is opened in a newer version of Excel. Learn more: https://go.microsoft.com/fwlink/?linkid=870924
Comment:
    Historicals: Pull from Balance Sheet
Projections: Calculate and link back to Balance Sheet.</t>
      </text>
    </comment>
    <comment ref="B49" authorId="12" shapeId="0" xr:uid="{23539609-81A9-46E2-9142-AA485C480600}">
      <text>
        <t>[Threaded comment]
Your version of Excel allows you to read this threaded comment; however, any edits to it will get removed if the file is opened in a newer version of Excel. Learn more: https://go.microsoft.com/fwlink/?linkid=870924
Comment:
    ST = Short Term
LT = Long Term
NO = "Non-Operating"
FC = "Financial Claims"</t>
      </text>
    </comment>
    <comment ref="D49" authorId="13" shapeId="0" xr:uid="{A095366A-69C9-48CE-92F2-10E9A24067B5}">
      <text>
        <t>[Threaded comment]
Your version of Excel allows you to read this threaded comment; however, any edits to it will get removed if the file is opened in a newer version of Excel. Learn more: https://go.microsoft.com/fwlink/?linkid=870924
Comment:
    Recommendation:
Enter historicals here, and link historical schedules (below) back to here. Then, use schedules to project future balances, and link projections back to the balance sheet.
Working Capital and other operating items should be projected line by line (via the "Supplementary Schedules" section below), and linked back to this balance sheet.
Non-operating items or items that cannot be reasonably predicted should be entered here directly. OK to hold at value, but any change in value must be reconciled in Owner's Equity or the Statement of Cash Flows!</t>
      </text>
    </comment>
    <comment ref="D104" authorId="14" shapeId="0" xr:uid="{FAE78D81-EF7C-4D3C-AA6A-80EAD8F622E8}">
      <text>
        <t>[Threaded comment]
Your version of Excel allows you to read this threaded comment; however, any edits to it will get removed if the file is opened in a newer version of Excel. Learn more: https://go.microsoft.com/fwlink/?linkid=870924
Comment:
    Increase = Use of Cash</t>
      </text>
    </comment>
    <comment ref="D106" authorId="15" shapeId="0" xr:uid="{AABFFF60-289F-4A8D-9FD0-5FE5967A174B}">
      <text>
        <t>[Threaded comment]
Your version of Excel allows you to read this threaded comment; however, any edits to it will get removed if the file is opened in a newer version of Excel. Learn more: https://go.microsoft.com/fwlink/?linkid=870924
Comment:
    Does not need to be reproduced historically.</t>
      </text>
    </comment>
    <comment ref="D134" authorId="16" shapeId="0" xr:uid="{2487323F-B302-42FB-8A9F-665EBA57D50C}">
      <text>
        <t>[Threaded comment]
Your version of Excel allows you to read this threaded comment; however, any edits to it will get removed if the file is opened in a newer version of Excel. Learn more: https://go.microsoft.com/fwlink/?linkid=870924
Comment:
    Can add or remove new sections as needed, but remember to link to the Balance Sheet and Statement of Cash Flows.</t>
      </text>
    </comment>
    <comment ref="D141" authorId="17" shapeId="0" xr:uid="{C6693425-A34B-45DF-BA50-F97E57E8C13A}">
      <text>
        <t>[Threaded comment]
Your version of Excel allows you to read this threaded comment; however, any edits to it will get removed if the file is opened in a newer version of Excel. Learn more: https://go.microsoft.com/fwlink/?linkid=870924
Comment:
    = Average Balance / Sales * 365
Calculate based off of historical values, and then use this to project future periods (by inverting the formula).</t>
      </text>
    </comment>
    <comment ref="D147" authorId="18" shapeId="0" xr:uid="{0FC46834-0EE0-4E6B-9AF8-BF553D880585}">
      <text>
        <t>[Threaded comment]
Your version of Excel allows you to read this threaded comment; however, any edits to it will get removed if the file is opened in a newer version of Excel. Learn more: https://go.microsoft.com/fwlink/?linkid=870924
Comment:
    = Average Balance / ABS(COGS) * 365
Calculate based off of historical values, and then use this to project future periods (by inverting the formula).</t>
      </text>
    </comment>
    <comment ref="D153" authorId="19" shapeId="0" xr:uid="{511F60FC-6802-4CB3-9AD6-216549A00F42}">
      <text>
        <t>[Threaded comment]
Your version of Excel allows you to read this threaded comment; however, any edits to it will get removed if the file is opened in a newer version of Excel. Learn more: https://go.microsoft.com/fwlink/?linkid=870924
Comment:
    = Average Balance / Sales
Calculate based off of historical values, and then use this to project future periods (by inverting the formula).</t>
      </text>
    </comment>
    <comment ref="D159" authorId="20" shapeId="0" xr:uid="{E5E1F79C-3076-46C1-A83E-029D69AA99A5}">
      <text>
        <t>[Threaded comment]
Your version of Excel allows you to read this threaded comment; however, any edits to it will get removed if the file is opened in a newer version of Excel. Learn more: https://go.microsoft.com/fwlink/?linkid=870924
Comment:
    = Average Balance / Sales
Calculate based off of historical values, and then use this to project future periods (by inverting the formula).</t>
      </text>
    </comment>
    <comment ref="D165" authorId="21" shapeId="0" xr:uid="{011630FE-28A9-4AC4-AE83-859471B1DCC9}">
      <text>
        <t>[Threaded comment]
Your version of Excel allows you to read this threaded comment; however, any edits to it will get removed if the file is opened in a newer version of Excel. Learn more: https://go.microsoft.com/fwlink/?linkid=870924
Comment:
    = Average Balance / ABS(COGS) * 365
Calculate based off of historical values, and then use this to project future periods (by inverting the formula).</t>
      </text>
    </comment>
    <comment ref="D171" authorId="22" shapeId="0" xr:uid="{59121CB9-C33E-4C62-909C-438DB382DF5E}">
      <text>
        <t>[Threaded comment]
Your version of Excel allows you to read this threaded comment; however, any edits to it will get removed if the file is opened in a newer version of Excel. Learn more: https://go.microsoft.com/fwlink/?linkid=870924
Comment:
    = Average Balance / ABS(COGS) * 365
Calculate based off of historical values, and then use this to project future periods (by inverting the formula).</t>
      </text>
    </comment>
    <comment ref="D177" authorId="23" shapeId="0" xr:uid="{515052DB-371D-45A2-AB28-41AA8739BE13}">
      <text>
        <t>[Threaded comment]
Your version of Excel allows you to read this threaded comment; however, any edits to it will get removed if the file is opened in a newer version of Excel. Learn more: https://go.microsoft.com/fwlink/?linkid=870924
Comment:
    = Average Balance / ABS(COGS) * 365
Calculate based off of historical values, and then use this to project future periods (by inverting the formula).</t>
      </text>
    </comment>
    <comment ref="D180" authorId="24" shapeId="0" xr:uid="{4E6C9C25-D677-4E89-A424-96BDC8DAE370}">
      <text>
        <t>[Threaded comment]
Your version of Excel allows you to read this threaded comment; however, any edits to it will get removed if the file is opened in a newer version of Excel. Learn more: https://go.microsoft.com/fwlink/?linkid=870924
Comment:
    General Check: For mature businesses, Capex and depreciation should be reasonably close.
For Growth businesses, Capex likely to be higher.</t>
      </text>
    </comment>
    <comment ref="D191" authorId="25" shapeId="0" xr:uid="{0277329B-D894-4E4A-9B79-7DDD20783211}">
      <text>
        <t>[Threaded comment]
Your version of Excel allows you to read this threaded comment; however, any edits to it will get removed if the file is opened in a newer version of Excel. Learn more: https://go.microsoft.com/fwlink/?linkid=870924
Comment:
    Add the impairment charges along with amortization for companies that have large impairment. Goodwill is usually considered to have no amortization, and only impaired</t>
      </text>
    </comment>
    <comment ref="D217" authorId="26" shapeId="0" xr:uid="{A63E2080-0A3F-480C-B3EC-E466F4842BFD}">
      <text>
        <t>[Threaded comment]
Your version of Excel allows you to read this threaded comment; however, any edits to it will get removed if the file is opened in a newer version of Excel. Learn more: https://go.microsoft.com/fwlink/?linkid=870924
Comment:
    Enter the number you get for Sales growth CAGR</t>
      </text>
    </comment>
    <comment ref="D225" authorId="27" shapeId="0" xr:uid="{8350ADA5-BD3A-4897-B28D-E2E4E3CA84D5}">
      <text>
        <t xml:space="preserve">[Threaded comment]
Your version of Excel allows you to read this threaded comment; however, any edits to it will get removed if the file is opened in a newer version of Excel. Learn more: https://go.microsoft.com/fwlink/?linkid=870924
Comment:
    Enter the average COGS% of sales </t>
      </text>
    </comment>
    <comment ref="D233" authorId="28" shapeId="0" xr:uid="{8287B55F-0CD3-45F8-A3F4-6A1325977465}">
      <text>
        <t>[Threaded comment]
Your version of Excel allows you to read this threaded comment; however, any edits to it will get removed if the file is opened in a newer version of Excel. Learn more: https://go.microsoft.com/fwlink/?linkid=870924
Comment:
    Enter the average OPEX% of sales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tc={ABFD7733-55D4-42D2-B0E0-55D0AEA37538}</author>
    <author>Nick Douglas</author>
  </authors>
  <commentList>
    <comment ref="L27" authorId="0" shapeId="0" xr:uid="{ABFD7733-55D4-42D2-B0E0-55D0AEA37538}">
      <text>
        <t>[Threaded comment]
Your version of Excel allows you to read this threaded comment; however, any edits to it will get removed if the file is opened in a newer version of Excel. Learn more: https://go.microsoft.com/fwlink/?linkid=870924
Comment:
    Use to test impact of different WACC rates.</t>
      </text>
    </comment>
    <comment ref="E41" authorId="1" shapeId="0" xr:uid="{D9D991EF-ADC5-4C97-A20B-619677BC614F}">
      <text>
        <r>
          <rPr>
            <b/>
            <sz val="9"/>
            <color indexed="81"/>
            <rFont val="Tahoma"/>
            <family val="2"/>
          </rPr>
          <t>Nick Douglas:</t>
        </r>
        <r>
          <rPr>
            <sz val="9"/>
            <color indexed="81"/>
            <rFont val="Tahoma"/>
            <family val="2"/>
          </rPr>
          <t xml:space="preserve">
=YEARFRAC(TODAY(),EOMONTH(TODAY(),12-MONTH(TODAY())))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tc={FBACC716-A198-4C71-B204-243078287F77}</author>
    <author>Nick Douglas</author>
    <author>tc={6DF238B5-94A0-4F46-9B03-20DD2BA70741}</author>
  </authors>
  <commentList>
    <comment ref="L27" authorId="0" shapeId="0" xr:uid="{FBACC716-A198-4C71-B204-243078287F77}">
      <text>
        <t>[Threaded comment]
Your version of Excel allows you to read this threaded comment; however, any edits to it will get removed if the file is opened in a newer version of Excel. Learn more: https://go.microsoft.com/fwlink/?linkid=870924
Comment:
    Use to test impact of different WACC rates.</t>
      </text>
    </comment>
    <comment ref="E41" authorId="1" shapeId="0" xr:uid="{7B547EC5-CFF7-4A21-91FF-0CA3604F4CD3}">
      <text>
        <r>
          <rPr>
            <b/>
            <sz val="9"/>
            <color indexed="81"/>
            <rFont val="Tahoma"/>
            <family val="2"/>
          </rPr>
          <t>Nick Douglas:</t>
        </r>
        <r>
          <rPr>
            <sz val="9"/>
            <color indexed="81"/>
            <rFont val="Tahoma"/>
            <family val="2"/>
          </rPr>
          <t xml:space="preserve">
=YEARFRAC(TODAY(),EOMONTH(TODAY(),12-MONTH(TODAY())))</t>
        </r>
      </text>
    </comment>
    <comment ref="B47" authorId="2" shapeId="0" xr:uid="{6DF238B5-94A0-4F46-9B03-20DD2BA70741}">
      <text>
        <t>[Threaded comment]
Your version of Excel allows you to read this threaded comment; however, any edits to it will get removed if the file is opened in a newer version of Excel. Learn more: https://go.microsoft.com/fwlink/?linkid=870924
Comment:
    This period only considers the period beyond your years of projection. For eg., if your high growth period starting today is 12 years, the input value here will be 6 years.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KILIAN Bendjaballah</author>
  </authors>
  <commentList>
    <comment ref="A1" authorId="0" shapeId="0" xr:uid="{A90B30E1-E5B0-4624-A92B-50D8EF95821C}">
      <text>
        <r>
          <rPr>
            <b/>
            <sz val="10.5"/>
            <color rgb="FF000000"/>
            <rFont val="Verdana"/>
            <family val="2"/>
          </rPr>
          <t>Thought Questions for determining an Appropriate Comparable Group:
Industry:</t>
        </r>
        <r>
          <rPr>
            <sz val="10.5"/>
            <color rgb="FF000000"/>
            <rFont val="Verdana"/>
            <family val="2"/>
          </rPr>
          <t xml:space="preserve">
- Same product? 
- Same customers?
- Business model similarity?
</t>
        </r>
        <r>
          <rPr>
            <b/>
            <sz val="10.5"/>
            <color rgb="FF000000"/>
            <rFont val="Verdana"/>
            <family val="2"/>
          </rPr>
          <t xml:space="preserve">Financial Criteria: </t>
        </r>
        <r>
          <rPr>
            <sz val="10.5"/>
            <color rgb="FF000000"/>
            <rFont val="Verdana"/>
            <family val="2"/>
          </rPr>
          <t xml:space="preserve">
- Same scale (revenue, EBITDA, etc.)?
- Capital structure similarity? 
- Note: Avoid private companies
</t>
        </r>
        <r>
          <rPr>
            <b/>
            <sz val="10.5"/>
            <color rgb="FF000000"/>
            <rFont val="Verdana"/>
            <family val="2"/>
          </rPr>
          <t>Geography:</t>
        </r>
        <r>
          <rPr>
            <sz val="10.5"/>
            <color rgb="FF000000"/>
            <rFont val="Verdana"/>
            <family val="2"/>
          </rPr>
          <t xml:space="preserve">
- Significant geopolitical differences?
- Significant geographical regulation differences
- Overlaping customers?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KILIAN Bendjaballah</author>
    <author>Yan Ling</author>
  </authors>
  <commentList>
    <comment ref="A1" authorId="0" shapeId="0" xr:uid="{B32E34F5-89EA-4B6C-BE99-BFB5E71AA38C}">
      <text>
        <r>
          <rPr>
            <b/>
            <sz val="10.5"/>
            <color rgb="FF000000"/>
            <rFont val="Verdana"/>
            <family val="2"/>
          </rPr>
          <t>Thought Questions for determining an Appropriate Comparable Group:
Industry:</t>
        </r>
        <r>
          <rPr>
            <sz val="10.5"/>
            <color rgb="FF000000"/>
            <rFont val="Verdana"/>
            <family val="2"/>
          </rPr>
          <t xml:space="preserve">
- Same product? 
- Same customers?
- Business model similarity?
</t>
        </r>
        <r>
          <rPr>
            <b/>
            <sz val="10.5"/>
            <color rgb="FF000000"/>
            <rFont val="Verdana"/>
            <family val="2"/>
          </rPr>
          <t xml:space="preserve">Financial Criteria: </t>
        </r>
        <r>
          <rPr>
            <sz val="10.5"/>
            <color rgb="FF000000"/>
            <rFont val="Verdana"/>
            <family val="2"/>
          </rPr>
          <t xml:space="preserve">
- Same scale (revenue, EBITDA, etc.)?
- Capital structure similarity? 
- Note: Avoid private companies
</t>
        </r>
        <r>
          <rPr>
            <b/>
            <sz val="10.5"/>
            <color rgb="FF000000"/>
            <rFont val="Verdana"/>
            <family val="2"/>
          </rPr>
          <t>Geography:</t>
        </r>
        <r>
          <rPr>
            <sz val="10.5"/>
            <color rgb="FF000000"/>
            <rFont val="Verdana"/>
            <family val="2"/>
          </rPr>
          <t xml:space="preserve">
- Significant geopolitical differences?
- Significant geographical regulation differences
- Overlaping customers?
</t>
        </r>
      </text>
    </comment>
    <comment ref="A7" authorId="1" shapeId="0" xr:uid="{A2313B77-F9D0-4992-ADFF-D6C14B6C197A}">
      <text>
        <r>
          <rPr>
            <sz val="11"/>
            <color theme="1"/>
            <rFont val="Calibri"/>
            <family val="2"/>
            <scheme val="minor"/>
          </rPr>
          <t>EV can be obtained from PitchBook (Financials -&gt; Multiples) or other resources. 
The lowest EV amongst the 4 quarterly reports can be used as an estimate for the lowest annual EV. The same can be repeated for highest annual EV.</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KILIAN Bendjaballah</author>
    <author>Yan Ling</author>
  </authors>
  <commentList>
    <comment ref="A1" authorId="0" shapeId="0" xr:uid="{BD1E9D34-4F00-42B1-B1C4-7A87B14FBFE7}">
      <text>
        <r>
          <rPr>
            <b/>
            <sz val="10.5"/>
            <color rgb="FF000000"/>
            <rFont val="Verdana"/>
            <family val="2"/>
          </rPr>
          <t>Thought Questions for determining an Appropriate Comparable Group:
Industry:</t>
        </r>
        <r>
          <rPr>
            <sz val="10.5"/>
            <color rgb="FF000000"/>
            <rFont val="Verdana"/>
            <family val="2"/>
          </rPr>
          <t xml:space="preserve">
- Same product? 
- Same customers?
- Business model similarity?
</t>
        </r>
        <r>
          <rPr>
            <b/>
            <sz val="10.5"/>
            <color rgb="FF000000"/>
            <rFont val="Verdana"/>
            <family val="2"/>
          </rPr>
          <t xml:space="preserve">Financial Criteria: </t>
        </r>
        <r>
          <rPr>
            <sz val="10.5"/>
            <color rgb="FF000000"/>
            <rFont val="Verdana"/>
            <family val="2"/>
          </rPr>
          <t xml:space="preserve">
- Same scale (revenue, EBITDA, etc.)?
- Capital structure similarity? 
- Note: Avoid private companies
</t>
        </r>
        <r>
          <rPr>
            <b/>
            <sz val="10.5"/>
            <color rgb="FF000000"/>
            <rFont val="Verdana"/>
            <family val="2"/>
          </rPr>
          <t>Geography:</t>
        </r>
        <r>
          <rPr>
            <sz val="10.5"/>
            <color rgb="FF000000"/>
            <rFont val="Verdana"/>
            <family val="2"/>
          </rPr>
          <t xml:space="preserve">
- Significant geopolitical differences?
- Significant geographical regulation differences
- Overlaping customers?
</t>
        </r>
      </text>
    </comment>
    <comment ref="A7" authorId="1" shapeId="0" xr:uid="{111A8183-2EF7-4A34-B3F4-05293D5301CF}">
      <text>
        <r>
          <rPr>
            <sz val="11"/>
            <color theme="1"/>
            <rFont val="Calibri"/>
            <family val="2"/>
            <scheme val="minor"/>
          </rPr>
          <t>EV can be obtained from PitchBook (Financials -&gt; Multiples) or other resources. 
The lowest EV amongst the 4 quarterly reports can be used as an estimate for the lowest annual EV. The same can be repeated for highest annual EV.</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tc={60C1D248-35F2-4A70-BA7D-96760D3105FA}</author>
    <author>tc={2A52C68E-12D2-4EA6-9EF3-7FB0C494FA70}</author>
  </authors>
  <commentList>
    <comment ref="B3" authorId="0" shapeId="0" xr:uid="{60C1D248-35F2-4A70-BA7D-96760D3105FA}">
      <text>
        <t>[Threaded comment]
Your version of Excel allows you to read this threaded comment; however, any edits to it will get removed if the file is opened in a newer version of Excel. Learn more: https://go.microsoft.com/fwlink/?linkid=870924
Comment:
    You can use EV/Revenue too</t>
      </text>
    </comment>
    <comment ref="A20" authorId="1" shapeId="0" xr:uid="{2A52C68E-12D2-4EA6-9EF3-7FB0C494FA70}">
      <text>
        <t xml:space="preserve">[Threaded comment]
Your version of Excel allows you to read this threaded comment; however, any edits to it will get removed if the file is opened in a newer version of Excel. Learn more: https://go.microsoft.com/fwlink/?linkid=870924
Comment:
    Use this as the forward price if you use this as a comparable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2"/>
        </ext>
      </extLst>
    </bk>
  </futureMetadata>
  <cellMetadata count="1">
    <bk>
      <rc t="1" v="0"/>
    </bk>
  </cellMetadata>
  <valueMetadata count="1">
    <bk>
      <rc t="2" v="0"/>
    </bk>
  </valueMetadata>
</metadata>
</file>

<file path=xl/sharedStrings.xml><?xml version="1.0" encoding="utf-8"?>
<sst xmlns="http://schemas.openxmlformats.org/spreadsheetml/2006/main" count="562" uniqueCount="335">
  <si>
    <t>General Guidelines</t>
  </si>
  <si>
    <t>1)</t>
  </si>
  <si>
    <t>Use all in-cell notes where possible. They are intended to be helpful.</t>
  </si>
  <si>
    <t>2)</t>
  </si>
  <si>
    <t>Color coding is important Excel modeling practice:</t>
  </si>
  <si>
    <t>Purple = Historical Data</t>
  </si>
  <si>
    <t>Blue = Assumptions &amp; Projections</t>
  </si>
  <si>
    <t>Black = Formulas</t>
  </si>
  <si>
    <t>Green = Links to Other Sheets</t>
  </si>
  <si>
    <t>User Input Cells</t>
  </si>
  <si>
    <t>360 Huntington Fund Valuation Template</t>
  </si>
  <si>
    <t>Version: Spring 2024 Update</t>
  </si>
  <si>
    <t>By: Sumukh</t>
  </si>
  <si>
    <t>H4sIAAAAAAAEAM2QQUvDMBTHu1Wxoh8id0toa+fcoRerKLjDpMXLGDMNDxuWJjVJhe5j+IU1KZ0ePHj1BfJeAv/f+/P3Jp7nfdpy3dX51F5PK2ZofSPlDpV9CxotWaWI6kP0DEozKbIkShKc4hhHIco7bjoFmYDOKMJDtOoqzugj9KXcgchEx/mx4xff2O2A3Y5YXIBihLM9qTjkhNbw++eilO0S3oEPr1tGjbVhtb7lnoyuglw2LVGgggei64LtwfO94GNS9NpAg3PJOQw6je9B2A300O/eOrvN9AfAS7xej6rCKCZeQ9RoKhVn1U8GKY7c+TuAaj4nMzq7iheXKUTXi80mmI5xn/rjcOSG/2jVmTv7At67jZonAgAA</t>
  </si>
  <si>
    <t>| Per Share Valuation Summary</t>
  </si>
  <si>
    <t>Models</t>
  </si>
  <si>
    <t>Valuation Methodology</t>
  </si>
  <si>
    <t>Low (-10%)</t>
  </si>
  <si>
    <t>Median</t>
  </si>
  <si>
    <t>High (+10%)</t>
  </si>
  <si>
    <t>Weights</t>
  </si>
  <si>
    <t>Baseline Metrics ($B):</t>
  </si>
  <si>
    <t>Per Share</t>
  </si>
  <si>
    <t>Discounted Cash Flow (Exit Multiple)</t>
  </si>
  <si>
    <t>Revenue</t>
  </si>
  <si>
    <t>Market Multiples: EV to Sales</t>
  </si>
  <si>
    <t>Gross Margin</t>
  </si>
  <si>
    <t>Market Multiples: Market Cap to Sales</t>
  </si>
  <si>
    <t>Operating Income</t>
  </si>
  <si>
    <t>Target Price (12-Month)</t>
  </si>
  <si>
    <t>Net Income</t>
  </si>
  <si>
    <t>Current Price</t>
  </si>
  <si>
    <r>
      <t xml:space="preserve">Upside from Current Price </t>
    </r>
    <r>
      <rPr>
        <b/>
        <i/>
        <sz val="11"/>
        <rFont val="Calibri"/>
        <family val="2"/>
        <scheme val="minor"/>
      </rPr>
      <t>(12 Month)</t>
    </r>
  </si>
  <si>
    <r>
      <t xml:space="preserve">Expected Alpha </t>
    </r>
    <r>
      <rPr>
        <b/>
        <i/>
        <sz val="11"/>
        <rFont val="Calibri"/>
        <family val="2"/>
        <scheme val="minor"/>
      </rPr>
      <t>(12 Month)</t>
    </r>
  </si>
  <si>
    <t>Graph Options -- Do Not Change!</t>
  </si>
  <si>
    <t>Low</t>
  </si>
  <si>
    <t>Extra</t>
  </si>
  <si>
    <t>High</t>
  </si>
  <si>
    <t>EV</t>
  </si>
  <si>
    <t>General Information:</t>
  </si>
  <si>
    <t>Entity Name</t>
  </si>
  <si>
    <t>Nu Scale</t>
  </si>
  <si>
    <t>Ticker Symbol (for Excel API)</t>
  </si>
  <si>
    <t>Current Share Price</t>
  </si>
  <si>
    <t>Currency</t>
  </si>
  <si>
    <t>USD</t>
  </si>
  <si>
    <t>Numeral Scaling</t>
  </si>
  <si>
    <t>Thousands</t>
  </si>
  <si>
    <t>For the numeral system to work please divide with "decimal" (cell highlighted in blue) while adding values</t>
  </si>
  <si>
    <t>Start Period</t>
  </si>
  <si>
    <t>Cost of Capital Assumptions</t>
  </si>
  <si>
    <t>Cost of Debt</t>
  </si>
  <si>
    <t>Risk-Free Rate (10 Year T-Bill)</t>
  </si>
  <si>
    <t>Debt Adjustment Factor</t>
  </si>
  <si>
    <t>Assumed Effective Tax Rate</t>
  </si>
  <si>
    <t>After-Tax Cost of Debt</t>
  </si>
  <si>
    <t>Cost of Equity</t>
  </si>
  <si>
    <t>Equity Risk Premium</t>
  </si>
  <si>
    <t>Equity Risk Premium (S&amp;P 500 US)</t>
  </si>
  <si>
    <t>Country Risk Premium</t>
  </si>
  <si>
    <t>Size Risk Premium</t>
  </si>
  <si>
    <t>Company Equity Beta</t>
  </si>
  <si>
    <t>Industry Betas</t>
  </si>
  <si>
    <t>CAPM Cost of Equity</t>
  </si>
  <si>
    <t>Company Capitalization &amp; WACC</t>
  </si>
  <si>
    <t>Market Value of Equity</t>
  </si>
  <si>
    <t>Market Value of Debt</t>
  </si>
  <si>
    <t>Total Capitalization</t>
  </si>
  <si>
    <t>WACC</t>
  </si>
  <si>
    <t>Sentivity Matrix</t>
  </si>
  <si>
    <t xml:space="preserve">Normal </t>
  </si>
  <si>
    <t>Lower</t>
  </si>
  <si>
    <t>Higher</t>
  </si>
  <si>
    <t>Perpetuity Growth Rate</t>
  </si>
  <si>
    <r>
      <rPr>
        <sz val="9"/>
        <color theme="1"/>
        <rFont val="Calibri"/>
        <family val="2"/>
      </rPr>
      <t>∆ (+/-)</t>
    </r>
    <r>
      <rPr>
        <i/>
        <sz val="9"/>
        <color theme="1"/>
        <rFont val="Calibri"/>
        <family val="2"/>
      </rPr>
      <t xml:space="preserve"> in Perpetuity Growth Rate</t>
    </r>
  </si>
  <si>
    <t>WACC Range</t>
  </si>
  <si>
    <t>∆ (+/-) WACC</t>
  </si>
  <si>
    <r>
      <t xml:space="preserve">360 Huntington Fund
</t>
    </r>
    <r>
      <rPr>
        <b/>
        <sz val="11"/>
        <color theme="1" tint="0.34998626667073579"/>
        <rFont val="Calibri"/>
        <family val="2"/>
        <scheme val="minor"/>
      </rPr>
      <t>Free Cash Flow Model</t>
    </r>
  </si>
  <si>
    <t>Historical</t>
  </si>
  <si>
    <t>Projected</t>
  </si>
  <si>
    <t>Common Size</t>
  </si>
  <si>
    <t>Key Assumptions</t>
  </si>
  <si>
    <t>TTM based on:</t>
  </si>
  <si>
    <t>X</t>
  </si>
  <si>
    <t>Consolidated Income Statement</t>
  </si>
  <si>
    <t>Revenues</t>
  </si>
  <si>
    <t>Sales &amp; Services Revenue</t>
  </si>
  <si>
    <t>Total Net Revenue</t>
  </si>
  <si>
    <t>CAGR</t>
  </si>
  <si>
    <t>Net Revenue Growth %</t>
  </si>
  <si>
    <r>
      <t>COGS</t>
    </r>
    <r>
      <rPr>
        <i/>
        <sz val="9"/>
        <color theme="1"/>
        <rFont val="Calibri"/>
        <family val="2"/>
        <scheme val="minor"/>
      </rPr>
      <t xml:space="preserve"> (Enter as Negative)</t>
    </r>
  </si>
  <si>
    <t>Cost of Goods &amp; Services</t>
  </si>
  <si>
    <t>Total COGS</t>
  </si>
  <si>
    <t>Avg COGS% of Sales</t>
  </si>
  <si>
    <t>Gross Profit</t>
  </si>
  <si>
    <t>Total Gross Margin %</t>
  </si>
  <si>
    <r>
      <t>Operating Expenses</t>
    </r>
    <r>
      <rPr>
        <sz val="9"/>
        <color theme="1"/>
        <rFont val="Calibri"/>
        <family val="2"/>
        <scheme val="minor"/>
      </rPr>
      <t xml:space="preserve"> </t>
    </r>
    <r>
      <rPr>
        <i/>
        <sz val="9"/>
        <color theme="1"/>
        <rFont val="Calibri"/>
        <family val="2"/>
        <scheme val="minor"/>
      </rPr>
      <t>(Enter as Positive)</t>
    </r>
  </si>
  <si>
    <t>SG&amp;A</t>
  </si>
  <si>
    <t>R&amp;D</t>
  </si>
  <si>
    <t>Other Operating Expenses</t>
  </si>
  <si>
    <t>Operating Income (EBIT)</t>
  </si>
  <si>
    <t>Depreciation</t>
  </si>
  <si>
    <t>Amortization</t>
  </si>
  <si>
    <t>Total Operating Expenses</t>
  </si>
  <si>
    <t>Avg Opex% of Sales</t>
  </si>
  <si>
    <t>EBITDA</t>
  </si>
  <si>
    <t>EBITDA Margin %</t>
  </si>
  <si>
    <t>Total Operating (EBIT) Margin %</t>
  </si>
  <si>
    <t>Other Income (Expense)</t>
  </si>
  <si>
    <t>Interest Income (Positive)</t>
  </si>
  <si>
    <t>-</t>
  </si>
  <si>
    <t>Interest Expense (Negative)</t>
  </si>
  <si>
    <t>Total Other Income (Expense)</t>
  </si>
  <si>
    <t>EBT</t>
  </si>
  <si>
    <t>Taxation</t>
  </si>
  <si>
    <r>
      <t xml:space="preserve">Taxes </t>
    </r>
    <r>
      <rPr>
        <i/>
        <sz val="9"/>
        <color theme="1"/>
        <rFont val="Calibri"/>
        <family val="2"/>
        <scheme val="minor"/>
      </rPr>
      <t>(Enter as Negative for Taxes Paid)</t>
    </r>
  </si>
  <si>
    <t>Net Income from Continuing Operations</t>
  </si>
  <si>
    <t>Profit Margin %</t>
  </si>
  <si>
    <t>Retained Earnings</t>
  </si>
  <si>
    <t>Beginning of Period</t>
  </si>
  <si>
    <t>PLUG (Dividends, Other Adj, Etc.)</t>
  </si>
  <si>
    <t>End of Period</t>
  </si>
  <si>
    <t>Balance Sheet Toggles</t>
  </si>
  <si>
    <t>Balance Sheet</t>
  </si>
  <si>
    <t>Assets</t>
  </si>
  <si>
    <t>Current Assets</t>
  </si>
  <si>
    <t>CASH</t>
  </si>
  <si>
    <t>Cash</t>
  </si>
  <si>
    <t>Marketable Securities</t>
  </si>
  <si>
    <t>STA</t>
  </si>
  <si>
    <t>Accounts Receivable (Net of Doubtful)</t>
  </si>
  <si>
    <t>Inventory</t>
  </si>
  <si>
    <t>Unbilled Revenue</t>
  </si>
  <si>
    <t>Other Current Assets</t>
  </si>
  <si>
    <t>Total Current Assets</t>
  </si>
  <si>
    <t>Long-Term Assets</t>
  </si>
  <si>
    <t>LTA</t>
  </si>
  <si>
    <t>Net PP&amp;E</t>
  </si>
  <si>
    <t>Goodwill &amp; Intangibles</t>
  </si>
  <si>
    <t>Deferred Tax Assets</t>
  </si>
  <si>
    <t>NOA</t>
  </si>
  <si>
    <t>Other Non-Current Assets</t>
  </si>
  <si>
    <t>Total Long-Term Assets</t>
  </si>
  <si>
    <t>Total Assets</t>
  </si>
  <si>
    <t>Liabilities</t>
  </si>
  <si>
    <t>Current Liabilities</t>
  </si>
  <si>
    <t>STL</t>
  </si>
  <si>
    <t>Accounts Payable</t>
  </si>
  <si>
    <t>Accrued Expenses</t>
  </si>
  <si>
    <t>Deferred/ Unearned Revenue</t>
  </si>
  <si>
    <t>FC</t>
  </si>
  <si>
    <t>Current Debt</t>
  </si>
  <si>
    <t>Current Income Tax Payable</t>
  </si>
  <si>
    <t>Other Current Liabilities</t>
  </si>
  <si>
    <t>Total Current Liabilities</t>
  </si>
  <si>
    <t>Long-Term Liabilities</t>
  </si>
  <si>
    <t>Long-Term Debt</t>
  </si>
  <si>
    <t>Long-Term Leases</t>
  </si>
  <si>
    <t>NOL</t>
  </si>
  <si>
    <t>Deferred Expenses (Long Term)</t>
  </si>
  <si>
    <t>Other Non-Current Liabilities</t>
  </si>
  <si>
    <t>Total Long-Term Liabilities</t>
  </si>
  <si>
    <t>Total Liabilities</t>
  </si>
  <si>
    <t>Equity</t>
  </si>
  <si>
    <t>Capital/Common Stock</t>
  </si>
  <si>
    <t>Preferred Stock</t>
  </si>
  <si>
    <t>--</t>
  </si>
  <si>
    <t xml:space="preserve">Non Controlling Int </t>
  </si>
  <si>
    <t>Additional Paid In Capital</t>
  </si>
  <si>
    <t>Other Equity</t>
  </si>
  <si>
    <t>Total Equity</t>
  </si>
  <si>
    <t>Total Liabilities &amp; Equity</t>
  </si>
  <si>
    <t>Balance Check</t>
  </si>
  <si>
    <t>Addendum Items</t>
  </si>
  <si>
    <t>Net Working Capital</t>
  </si>
  <si>
    <t>∆ Net Working Capital</t>
  </si>
  <si>
    <t>Statement of Cash Flows</t>
  </si>
  <si>
    <t>Cash Flow from Operations</t>
  </si>
  <si>
    <t>Depreciation &amp; Amortization</t>
  </si>
  <si>
    <t>Net Cash Flow from Operating Activities</t>
  </si>
  <si>
    <t>Cash Flow from Investing Activities</t>
  </si>
  <si>
    <t>Capex</t>
  </si>
  <si>
    <t>Net Cash Flow from Investing Activities</t>
  </si>
  <si>
    <t>Cash Flow from Financing Activities</t>
  </si>
  <si>
    <t>Dividends / Ownership Distributions</t>
  </si>
  <si>
    <t>Note Issuance (Payments)</t>
  </si>
  <si>
    <t>Current Debt Issuance (Payments)</t>
  </si>
  <si>
    <t>Long-Term Debt Financing (Payments)</t>
  </si>
  <si>
    <t>Net Cash Flow from Financing Activities</t>
  </si>
  <si>
    <t>Beginning Balance</t>
  </si>
  <si>
    <t>∆ in Cash</t>
  </si>
  <si>
    <t>Ending Balance</t>
  </si>
  <si>
    <t>Additional Cash Flow Calculations</t>
  </si>
  <si>
    <t>Operating Cash Flow (OCF)</t>
  </si>
  <si>
    <t>Free Cash Flow (FCF)</t>
  </si>
  <si>
    <t>Free Cash Flow to Equity (FCFE)</t>
  </si>
  <si>
    <t>Supplementary Schedules:</t>
  </si>
  <si>
    <t>Use to Project Working Capital Requirements &amp; Other Balance Sheet Accounts</t>
  </si>
  <si>
    <t>Working Capital Schedule</t>
  </si>
  <si>
    <t>Accounts Receivable</t>
  </si>
  <si>
    <t>Increase (Decrease)</t>
  </si>
  <si>
    <t>Days Sales Outstanding</t>
  </si>
  <si>
    <t>Inventories</t>
  </si>
  <si>
    <t>Days Inventory Outstanding</t>
  </si>
  <si>
    <t>Prepaid Expenses</t>
  </si>
  <si>
    <t>% of Sales</t>
  </si>
  <si>
    <t>Days Payables Outstanding</t>
  </si>
  <si>
    <t>Days Accruals Outstanding</t>
  </si>
  <si>
    <t>Days Other Liabilities Outstanding</t>
  </si>
  <si>
    <t>Capex Schedule</t>
  </si>
  <si>
    <t>PPE</t>
  </si>
  <si>
    <t>Addition</t>
  </si>
  <si>
    <t>Addition as % Sales</t>
  </si>
  <si>
    <t>Depreciation as % total PPE</t>
  </si>
  <si>
    <t>Goodwill &amp; Intangible Assets</t>
  </si>
  <si>
    <t>Amortization as % total Intangibles</t>
  </si>
  <si>
    <t>Debt Schedule</t>
  </si>
  <si>
    <t>Notes Payable</t>
  </si>
  <si>
    <t>Additional Lending (Payments)</t>
  </si>
  <si>
    <t>Sensitivity Analysis of Operating Assumptions</t>
  </si>
  <si>
    <t>Enterprise Value</t>
  </si>
  <si>
    <t>Equity Value</t>
  </si>
  <si>
    <t>Enterprise Value (Per Share)</t>
  </si>
  <si>
    <t>Equity Value (Per Share)</t>
  </si>
  <si>
    <t>Sales Growth Rate</t>
  </si>
  <si>
    <t>DCF Applied Case</t>
  </si>
  <si>
    <t>COGS% of Sales</t>
  </si>
  <si>
    <t>Opex% of Sales</t>
  </si>
  <si>
    <t>| Discounted Cash Flow Analysis</t>
  </si>
  <si>
    <t>\</t>
  </si>
  <si>
    <t xml:space="preserve">WACC Assumptions </t>
  </si>
  <si>
    <t xml:space="preserve">Cost of Equity (CAPM) </t>
  </si>
  <si>
    <t>Current Share Price:</t>
  </si>
  <si>
    <t>10 Year T-Bill Rate</t>
  </si>
  <si>
    <t>WACC Calculation</t>
  </si>
  <si>
    <t>WACC Override:</t>
  </si>
  <si>
    <t>Historic</t>
  </si>
  <si>
    <t>Fiscal Year Ending</t>
  </si>
  <si>
    <t>Est. Cash Taxes</t>
  </si>
  <si>
    <t>NOPAT*</t>
  </si>
  <si>
    <t>Change in Working Capital (-)</t>
  </si>
  <si>
    <t>D&amp;A (+)</t>
  </si>
  <si>
    <t>Capex (-)</t>
  </si>
  <si>
    <t>Free Cash Flow (FCFF)</t>
  </si>
  <si>
    <t>Discount Factor</t>
  </si>
  <si>
    <t>Discount Period</t>
  </si>
  <si>
    <t>Discounted Free Cash Flow</t>
  </si>
  <si>
    <t>*NOPAT = Net Operating Profit After Tax</t>
  </si>
  <si>
    <t>Perpetuity Growth Methodology</t>
  </si>
  <si>
    <t>Total</t>
  </si>
  <si>
    <t>per Share</t>
  </si>
  <si>
    <t>TV using Exit Multiple</t>
  </si>
  <si>
    <t>TV/Sales Multiple</t>
  </si>
  <si>
    <t>Terminal Value</t>
  </si>
  <si>
    <t>Sales (FY 29)</t>
  </si>
  <si>
    <t>Discounted Terminal Value</t>
  </si>
  <si>
    <t>TV</t>
  </si>
  <si>
    <t>Sum of DCFs</t>
  </si>
  <si>
    <t>PV</t>
  </si>
  <si>
    <t>VOPS</t>
  </si>
  <si>
    <t>Net Non-Operating Assets (Liabilities)</t>
  </si>
  <si>
    <t>Net Out: Financial Claims (Net of Cash)</t>
  </si>
  <si>
    <t>Equity Value (Present Value)</t>
  </si>
  <si>
    <t>Sensitivity Analysis: Perpetuity Growth Rate vs. WACC</t>
  </si>
  <si>
    <t>Initial High Growth Rate</t>
  </si>
  <si>
    <t>Life of High Growth Period</t>
  </si>
  <si>
    <t>Half Life of High Growth Period</t>
  </si>
  <si>
    <t xml:space="preserve">P/S Market Multiples </t>
  </si>
  <si>
    <t>Peer Group:</t>
  </si>
  <si>
    <t>FCEL</t>
  </si>
  <si>
    <t>EOSE</t>
  </si>
  <si>
    <t>HYLN</t>
  </si>
  <si>
    <t>Peer Group Average</t>
  </si>
  <si>
    <t>Year</t>
  </si>
  <si>
    <t>Market Price</t>
  </si>
  <si>
    <t>Sales (per Share)</t>
  </si>
  <si>
    <t>P/S Ratio</t>
  </si>
  <si>
    <t>Average</t>
  </si>
  <si>
    <t>Discount Applied</t>
  </si>
  <si>
    <t>Using Historical Averages</t>
  </si>
  <si>
    <t>Historical Peer Group Hi-Low Avg.</t>
  </si>
  <si>
    <t>Historical Target Firm Hi-Low Avg.</t>
  </si>
  <si>
    <t>Average P/S</t>
  </si>
  <si>
    <t>Projected Forward Sales per Share</t>
  </si>
  <si>
    <t>Relative P/S Target Price</t>
  </si>
  <si>
    <t>Helpful Notes:</t>
  </si>
  <si>
    <t>Check the note in the cell "Historical Relative P/E" on the top left corner in Yellow</t>
  </si>
  <si>
    <t>Be sure to check your data for outliers that may be skewing the results of the model and delete them.</t>
  </si>
  <si>
    <t xml:space="preserve"> If you are not sure about a value, consult your SM</t>
  </si>
  <si>
    <t>EV/Sales Market Multiples Model</t>
  </si>
  <si>
    <t>Market Cap</t>
  </si>
  <si>
    <t>Annual  Sales</t>
  </si>
  <si>
    <t>EV/Sales Ratio</t>
  </si>
  <si>
    <t>NM</t>
  </si>
  <si>
    <t>Historical Peer Group</t>
  </si>
  <si>
    <t>Historical Target Firm</t>
  </si>
  <si>
    <t>Average Market Cap/Sales</t>
  </si>
  <si>
    <t>x Projected Forward Sales</t>
  </si>
  <si>
    <t>Relative Market Cap</t>
  </si>
  <si>
    <t>- Projected Interest-Bearing Debt</t>
  </si>
  <si>
    <t>+ Projected Cash and Cash Equivalents</t>
  </si>
  <si>
    <t>Relative Market Value of Equity</t>
  </si>
  <si>
    <t>Relative EV/Sales Target Price</t>
  </si>
  <si>
    <t>Check the note in the cell "Historical Relative" on the top left corner in Yellow</t>
  </si>
  <si>
    <t>Enterprise Value (EV)</t>
  </si>
  <si>
    <t>Average EV/Sales</t>
  </si>
  <si>
    <t>Relative EV</t>
  </si>
  <si>
    <t>Transaction Multiples ( You will need to shortlist companies in the similar industry and have the same operations. Then shortlist potential peers based on geographic location, mkt cap etc)</t>
  </si>
  <si>
    <t>Purchased Companies</t>
  </si>
  <si>
    <t>EV/Revenue LTM</t>
  </si>
  <si>
    <t>Peer 1</t>
  </si>
  <si>
    <t>Peer 2</t>
  </si>
  <si>
    <t>Peer 3</t>
  </si>
  <si>
    <t>Peer 4</t>
  </si>
  <si>
    <t>Peer 5</t>
  </si>
  <si>
    <t>Peer 6</t>
  </si>
  <si>
    <t>Peer 7</t>
  </si>
  <si>
    <t>Peer 8</t>
  </si>
  <si>
    <t>Methodology</t>
  </si>
  <si>
    <t>Value</t>
  </si>
  <si>
    <t>Average EV/Revenue</t>
  </si>
  <si>
    <t>Projected 12M revenue</t>
  </si>
  <si>
    <t>Implied Enterprise Value</t>
  </si>
  <si>
    <t>Net Financial Claims</t>
  </si>
  <si>
    <t>Shares Outstanding</t>
  </si>
  <si>
    <t>Forward Share Price(Fair Value)</t>
  </si>
  <si>
    <t>Automated Page for Reference Only</t>
  </si>
  <si>
    <t>Fiscal Year:</t>
  </si>
  <si>
    <t>Gross Shipments</t>
  </si>
  <si>
    <t>Less: Deductions &amp; Allowances</t>
  </si>
  <si>
    <t>Net Sales</t>
  </si>
  <si>
    <t>Less: COGS</t>
  </si>
  <si>
    <t>Gross Margin %</t>
  </si>
  <si>
    <t>Less: Operating Expense</t>
  </si>
  <si>
    <t>Operating 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</si>
</sst>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9">
    <numFmt numFmtId="6" formatCode="&quot;$&quot;#,##0_);[Red]\(&quot;$&quot;#,##0\)"/>
    <numFmt numFmtId="7" formatCode="&quot;$&quot;#,##0.00_);\(&quot;$&quot;#,##0.00\)"/>
    <numFmt numFmtId="8" formatCode="&quot;$&quot;#,##0.00_);[Red]\(&quot;$&quot;#,##0.00\)"/>
    <numFmt numFmtId="44" formatCode="_(&quot;$&quot;* #,##0.00_);_(&quot;$&quot;* \(#,##0.00\);_(&quot;$&quot;* &quot;-&quot;??_);_(@_)"/>
    <numFmt numFmtId="43" formatCode="_(* #,##0.00_);_(* \(#,##0.00\);_(* &quot;-&quot;??_);_(@_)"/>
    <numFmt numFmtId="164" formatCode="[$-409]d\-mmm\-yy;@"/>
    <numFmt numFmtId="165" formatCode="#,##0_);\(#,##0\);\-\-"/>
    <numFmt numFmtId="166" formatCode="#,##0_);[Red]\(#,##0\);\-\-"/>
    <numFmt numFmtId="167" formatCode="0.0%;[Red]\-0.0%;\-\-"/>
    <numFmt numFmtId="168" formatCode="[$-409]mmm\-yy;@"/>
    <numFmt numFmtId="169" formatCode="0.0%"/>
    <numFmt numFmtId="170" formatCode="0.00%;[Red]\-0.00%;\-\-"/>
    <numFmt numFmtId="171" formatCode="_(* #,##0_);_(* \(#,##0\);_(* &quot;-&quot;??_);_(@_)"/>
    <numFmt numFmtId="172" formatCode="_(* #,##0_);[Red]_(* \(#,##0\);_(* &quot;-&quot;??_);_(@_)"/>
    <numFmt numFmtId="173" formatCode="_(* #,##0.0_);_(* \(#,##0.0\);_(* &quot;-&quot;??_);_(@_)"/>
    <numFmt numFmtId="174" formatCode="&quot;$&quot;#,##0.00_);[Red]\(&quot;$&quot;#,##0.00\);\-"/>
    <numFmt numFmtId="175" formatCode="0000\ &quot;Revenue&quot;"/>
    <numFmt numFmtId="176" formatCode="&quot;$&quot;#,##0.0_);[Red]\(&quot;$&quot;#,##0.0\)"/>
    <numFmt numFmtId="177" formatCode="0000\ &quot;EBITDA&quot;"/>
    <numFmt numFmtId="178" formatCode="0%;[Red]\-0%;\-\-"/>
    <numFmt numFmtId="179" formatCode="_(#,##0_);[Red]_(\(#,##0\);_(* &quot;-&quot;??_);_(@_)"/>
    <numFmt numFmtId="180" formatCode="_(* #,##0.00_);[Red]_(* \(#,##0.00\);_(* &quot;-&quot;??_);_(@_)"/>
    <numFmt numFmtId="181" formatCode="&quot;$&quot;#,##0.00"/>
    <numFmt numFmtId="182" formatCode="0.0"/>
    <numFmt numFmtId="183" formatCode="_([$$-409]* #,##0.00_);_([$$-409]* \(#,##0.00\);_([$$-409]* &quot;-&quot;??_);_(@_)"/>
    <numFmt numFmtId="184" formatCode="yyyy"/>
    <numFmt numFmtId="185" formatCode="&quot;$&quot;#,##0"/>
    <numFmt numFmtId="186" formatCode="0.00_);[Red]\(0.00\)"/>
    <numFmt numFmtId="187" formatCode="0_);[Red]\(0\)"/>
  </numFmts>
  <fonts count="103">
    <font>
      <sz val="11"/>
      <color theme="1"/>
      <name val="Calibri"/>
      <family val="2"/>
      <scheme val="minor"/>
    </font>
    <font>
      <sz val="8"/>
      <name val="Calibri"/>
      <family val="2"/>
      <scheme val="minor"/>
    </font>
    <font>
      <sz val="11"/>
      <color theme="1"/>
      <name val="Calibri"/>
      <family val="2"/>
      <scheme val="minor"/>
    </font>
    <font>
      <b/>
      <sz val="9"/>
      <color theme="1"/>
      <name val="Calibri"/>
      <family val="2"/>
      <scheme val="minor"/>
    </font>
    <font>
      <sz val="9"/>
      <color theme="1"/>
      <name val="Calibri"/>
      <family val="2"/>
      <scheme val="minor"/>
    </font>
    <font>
      <u/>
      <sz val="9"/>
      <color theme="1"/>
      <name val="Calibri"/>
      <family val="2"/>
      <scheme val="minor"/>
    </font>
    <font>
      <sz val="9"/>
      <color rgb="FF7030A0"/>
      <name val="Calibri"/>
      <family val="2"/>
      <scheme val="minor"/>
    </font>
    <font>
      <b/>
      <sz val="9"/>
      <name val="Calibri"/>
      <family val="2"/>
      <scheme val="minor"/>
    </font>
    <font>
      <b/>
      <sz val="16"/>
      <color theme="1" tint="0.34998626667073579"/>
      <name val="Calibri"/>
      <family val="2"/>
      <scheme val="minor"/>
    </font>
    <font>
      <i/>
      <sz val="9"/>
      <color theme="1"/>
      <name val="Calibri"/>
      <family val="2"/>
      <scheme val="minor"/>
    </font>
    <font>
      <sz val="9"/>
      <name val="Calibri"/>
      <family val="2"/>
      <scheme val="minor"/>
    </font>
    <font>
      <sz val="10"/>
      <name val="Arial"/>
      <family val="2"/>
    </font>
    <font>
      <b/>
      <u/>
      <sz val="9"/>
      <name val="Calibri"/>
      <family val="2"/>
      <scheme val="minor"/>
    </font>
    <font>
      <sz val="9"/>
      <color rgb="FF0000FF"/>
      <name val="Calibri"/>
      <family val="2"/>
      <scheme val="minor"/>
    </font>
    <font>
      <i/>
      <sz val="9"/>
      <name val="Calibri"/>
      <family val="2"/>
      <scheme val="minor"/>
    </font>
    <font>
      <b/>
      <i/>
      <sz val="16"/>
      <color theme="1" tint="0.34998626667073579"/>
      <name val="Calibri"/>
      <family val="2"/>
      <scheme val="minor"/>
    </font>
    <font>
      <b/>
      <sz val="9"/>
      <color theme="0"/>
      <name val="Calibri"/>
      <family val="2"/>
      <scheme val="minor"/>
    </font>
    <font>
      <b/>
      <i/>
      <sz val="9"/>
      <color theme="0"/>
      <name val="Calibri"/>
      <family val="2"/>
      <scheme val="minor"/>
    </font>
    <font>
      <b/>
      <i/>
      <sz val="9"/>
      <color rgb="FF0000FF"/>
      <name val="Calibri"/>
      <family val="2"/>
      <scheme val="minor"/>
    </font>
    <font>
      <b/>
      <sz val="11"/>
      <color theme="1" tint="0.34998626667073579"/>
      <name val="Calibri"/>
      <family val="2"/>
      <scheme val="minor"/>
    </font>
    <font>
      <u/>
      <sz val="11"/>
      <color theme="10"/>
      <name val="Calibri"/>
      <family val="2"/>
      <scheme val="minor"/>
    </font>
    <font>
      <sz val="10"/>
      <color theme="1"/>
      <name val="Arial Narrow"/>
      <family val="2"/>
    </font>
    <font>
      <sz val="10"/>
      <color theme="0" tint="-0.499984740745262"/>
      <name val="Arial Narrow"/>
      <family val="2"/>
    </font>
    <font>
      <sz val="10"/>
      <name val="Arial Narrow"/>
      <family val="2"/>
    </font>
    <font>
      <sz val="10"/>
      <color theme="0"/>
      <name val="Arial Narrow"/>
      <family val="2"/>
    </font>
    <font>
      <b/>
      <sz val="10"/>
      <color theme="0"/>
      <name val="Arial Narrow"/>
      <family val="2"/>
    </font>
    <font>
      <sz val="10"/>
      <color rgb="FF0000FF"/>
      <name val="Arial Narrow"/>
      <family val="2"/>
    </font>
    <font>
      <b/>
      <u/>
      <sz val="10"/>
      <name val="Arial"/>
      <family val="2"/>
    </font>
    <font>
      <b/>
      <sz val="10"/>
      <color theme="1"/>
      <name val="Arial Narrow"/>
      <family val="2"/>
    </font>
    <font>
      <b/>
      <sz val="10"/>
      <name val="Arial Narrow"/>
      <family val="2"/>
    </font>
    <font>
      <sz val="10"/>
      <color theme="0"/>
      <name val="Arial"/>
      <family val="2"/>
    </font>
    <font>
      <b/>
      <u val="singleAccounting"/>
      <sz val="10"/>
      <color theme="1"/>
      <name val="Calibri"/>
      <family val="2"/>
      <scheme val="minor"/>
    </font>
    <font>
      <b/>
      <u val="singleAccounting"/>
      <sz val="10"/>
      <color theme="1"/>
      <name val="Arial Narrow"/>
      <family val="2"/>
    </font>
    <font>
      <i/>
      <sz val="10"/>
      <color theme="1"/>
      <name val="Arial Narrow"/>
      <family val="2"/>
    </font>
    <font>
      <b/>
      <i/>
      <sz val="10"/>
      <name val="Arial Narrow"/>
      <family val="2"/>
    </font>
    <font>
      <b/>
      <sz val="20"/>
      <color theme="1" tint="0.34998626667073579"/>
      <name val="Arial Narrow"/>
      <family val="2"/>
    </font>
    <font>
      <b/>
      <sz val="9"/>
      <color rgb="FFFF6600"/>
      <name val="Calibri"/>
      <family val="2"/>
      <scheme val="minor"/>
    </font>
    <font>
      <i/>
      <sz val="9"/>
      <color rgb="FF0000FF"/>
      <name val="Calibri"/>
      <family val="2"/>
      <scheme val="minor"/>
    </font>
    <font>
      <b/>
      <i/>
      <sz val="9"/>
      <color rgb="FFFF0000"/>
      <name val="Calibri"/>
      <family val="2"/>
      <scheme val="minor"/>
    </font>
    <font>
      <b/>
      <sz val="10"/>
      <name val="Arial"/>
      <family val="2"/>
    </font>
    <font>
      <b/>
      <sz val="10"/>
      <color rgb="FF0000FF"/>
      <name val="Arial"/>
      <family val="2"/>
    </font>
    <font>
      <b/>
      <sz val="11"/>
      <color theme="0"/>
      <name val="Calibri"/>
      <family val="2"/>
      <scheme val="minor"/>
    </font>
    <font>
      <b/>
      <sz val="11"/>
      <color theme="1"/>
      <name val="Calibri"/>
      <family val="2"/>
      <scheme val="minor"/>
    </font>
    <font>
      <sz val="11"/>
      <color theme="0"/>
      <name val="Calibri"/>
      <family val="2"/>
      <scheme val="minor"/>
    </font>
    <font>
      <b/>
      <sz val="6"/>
      <color theme="1"/>
      <name val="Calibri"/>
      <family val="2"/>
      <scheme val="minor"/>
    </font>
    <font>
      <b/>
      <i/>
      <sz val="9"/>
      <color theme="0"/>
      <name val="Arial Narrow"/>
      <family val="2"/>
    </font>
    <font>
      <b/>
      <i/>
      <u val="singleAccounting"/>
      <sz val="10"/>
      <color theme="1"/>
      <name val="Calibri"/>
      <family val="2"/>
      <scheme val="minor"/>
    </font>
    <font>
      <b/>
      <i/>
      <sz val="9"/>
      <name val="Arial Narrow"/>
      <family val="2"/>
    </font>
    <font>
      <sz val="4"/>
      <color theme="1"/>
      <name val="Arial Narrow"/>
      <family val="2"/>
    </font>
    <font>
      <sz val="4"/>
      <name val="Arial Narrow"/>
      <family val="2"/>
    </font>
    <font>
      <sz val="4"/>
      <color theme="1"/>
      <name val="Calibri"/>
      <family val="2"/>
      <scheme val="minor"/>
    </font>
    <font>
      <i/>
      <sz val="10"/>
      <name val="Arial Narrow"/>
      <family val="2"/>
    </font>
    <font>
      <i/>
      <sz val="4"/>
      <color theme="1"/>
      <name val="Arial Narrow"/>
      <family val="2"/>
    </font>
    <font>
      <i/>
      <sz val="4"/>
      <name val="Arial Narrow"/>
      <family val="2"/>
    </font>
    <font>
      <sz val="10"/>
      <color theme="0"/>
      <name val="Calibri"/>
      <family val="2"/>
      <scheme val="minor"/>
    </font>
    <font>
      <sz val="10"/>
      <color theme="1"/>
      <name val="Calibri"/>
      <family val="2"/>
      <scheme val="minor"/>
    </font>
    <font>
      <b/>
      <sz val="12"/>
      <color theme="0"/>
      <name val="Calibri"/>
      <family val="2"/>
      <scheme val="minor"/>
    </font>
    <font>
      <i/>
      <sz val="11"/>
      <color theme="1"/>
      <name val="Calibri"/>
      <family val="2"/>
      <scheme val="minor"/>
    </font>
    <font>
      <b/>
      <i/>
      <sz val="11"/>
      <color theme="0"/>
      <name val="Calibri"/>
      <family val="2"/>
      <scheme val="minor"/>
    </font>
    <font>
      <sz val="11"/>
      <name val="Calibri"/>
      <family val="2"/>
      <scheme val="minor"/>
    </font>
    <font>
      <b/>
      <i/>
      <sz val="11"/>
      <color theme="1"/>
      <name val="Calibri"/>
      <family val="2"/>
      <scheme val="minor"/>
    </font>
    <font>
      <b/>
      <sz val="11"/>
      <name val="Calibri"/>
      <family val="2"/>
      <scheme val="minor"/>
    </font>
    <font>
      <sz val="9"/>
      <color indexed="81"/>
      <name val="Tahoma"/>
      <family val="2"/>
    </font>
    <font>
      <sz val="10"/>
      <color rgb="FF0000FF"/>
      <name val="Arial"/>
      <family val="2"/>
    </font>
    <font>
      <b/>
      <sz val="20"/>
      <color theme="1" tint="0.34998626667073579"/>
      <name val="Calibri"/>
      <family val="2"/>
      <scheme val="minor"/>
    </font>
    <font>
      <b/>
      <sz val="10"/>
      <color theme="0"/>
      <name val="Calibri"/>
      <family val="2"/>
      <scheme val="minor"/>
    </font>
    <font>
      <b/>
      <sz val="10"/>
      <color theme="1"/>
      <name val="Calibri"/>
      <family val="2"/>
      <scheme val="minor"/>
    </font>
    <font>
      <b/>
      <i/>
      <sz val="11"/>
      <color rgb="FF0000FF"/>
      <name val="Calibri"/>
      <family val="2"/>
      <scheme val="minor"/>
    </font>
    <font>
      <b/>
      <i/>
      <sz val="10"/>
      <color theme="0"/>
      <name val="Calibri"/>
      <family val="2"/>
      <scheme val="minor"/>
    </font>
    <font>
      <sz val="11"/>
      <color rgb="FF006600"/>
      <name val="Calibri"/>
      <family val="2"/>
      <scheme val="minor"/>
    </font>
    <font>
      <sz val="10"/>
      <name val="Calibri"/>
      <family val="2"/>
      <scheme val="minor"/>
    </font>
    <font>
      <b/>
      <sz val="10"/>
      <name val="Calibri"/>
      <family val="2"/>
      <scheme val="minor"/>
    </font>
    <font>
      <b/>
      <i/>
      <sz val="11"/>
      <name val="Calibri"/>
      <family val="2"/>
      <scheme val="minor"/>
    </font>
    <font>
      <b/>
      <i/>
      <sz val="14"/>
      <color rgb="FFFF0000"/>
      <name val="Calibri"/>
      <family val="2"/>
      <scheme val="minor"/>
    </font>
    <font>
      <sz val="11"/>
      <color indexed="8"/>
      <name val="Calibri"/>
      <family val="2"/>
    </font>
    <font>
      <b/>
      <sz val="10"/>
      <color indexed="8"/>
      <name val="Calibri"/>
      <family val="2"/>
      <scheme val="minor"/>
    </font>
    <font>
      <sz val="10"/>
      <color indexed="8"/>
      <name val="Calibri"/>
      <family val="2"/>
      <scheme val="minor"/>
    </font>
    <font>
      <b/>
      <sz val="10.5"/>
      <color rgb="FF000000"/>
      <name val="Verdana"/>
      <family val="2"/>
    </font>
    <font>
      <sz val="10.5"/>
      <color rgb="FF000000"/>
      <name val="Verdana"/>
      <family val="2"/>
    </font>
    <font>
      <sz val="10"/>
      <color rgb="FF7030A0"/>
      <name val="Calibri"/>
      <family val="2"/>
      <scheme val="minor"/>
    </font>
    <font>
      <b/>
      <sz val="14"/>
      <color theme="0"/>
      <name val="Calibri"/>
      <family val="2"/>
      <scheme val="minor"/>
    </font>
    <font>
      <b/>
      <u/>
      <sz val="10"/>
      <color theme="0"/>
      <name val="Calibri"/>
      <family val="2"/>
      <scheme val="minor"/>
    </font>
    <font>
      <b/>
      <sz val="10"/>
      <color rgb="FF0000FF"/>
      <name val="Calibri"/>
      <family val="2"/>
      <scheme val="minor"/>
    </font>
    <font>
      <i/>
      <sz val="10"/>
      <name val="Arial"/>
      <family val="2"/>
    </font>
    <font>
      <sz val="10"/>
      <color rgb="FF0000FF"/>
      <name val="Calibri"/>
      <family val="2"/>
      <scheme val="minor"/>
    </font>
    <font>
      <i/>
      <sz val="10"/>
      <color theme="1"/>
      <name val="Calibri"/>
      <family val="2"/>
      <scheme val="minor"/>
    </font>
    <font>
      <u/>
      <sz val="10"/>
      <color theme="10"/>
      <name val="Calibri"/>
      <family val="2"/>
      <scheme val="minor"/>
    </font>
    <font>
      <u/>
      <sz val="9"/>
      <color theme="10"/>
      <name val="Calibri"/>
      <family val="2"/>
      <scheme val="minor"/>
    </font>
    <font>
      <sz val="9"/>
      <color theme="1"/>
      <name val="Calibri"/>
      <family val="2"/>
    </font>
    <font>
      <i/>
      <sz val="9"/>
      <color theme="1"/>
      <name val="Calibri"/>
      <family val="2"/>
    </font>
    <font>
      <b/>
      <i/>
      <u/>
      <sz val="14"/>
      <color theme="1" tint="0.34998626667073579"/>
      <name val="Calibri"/>
      <family val="2"/>
      <scheme val="minor"/>
    </font>
    <font>
      <b/>
      <u/>
      <sz val="14"/>
      <color theme="1"/>
      <name val="Calibri"/>
      <family val="2"/>
      <scheme val="minor"/>
    </font>
    <font>
      <sz val="11"/>
      <color rgb="FF7030A0"/>
      <name val="Calibri"/>
      <family val="2"/>
      <scheme val="minor"/>
    </font>
    <font>
      <sz val="11"/>
      <color rgb="FF0000FF"/>
      <name val="Calibri"/>
      <family val="2"/>
      <scheme val="minor"/>
    </font>
    <font>
      <sz val="9"/>
      <color theme="1" tint="0.14999847407452621"/>
      <name val="Calibri"/>
      <family val="2"/>
      <scheme val="minor"/>
    </font>
    <font>
      <i/>
      <sz val="9"/>
      <color theme="1" tint="0.14999847407452621"/>
      <name val="Calibri"/>
      <family val="2"/>
      <scheme val="minor"/>
    </font>
    <font>
      <sz val="9"/>
      <color theme="0"/>
      <name val="Calibri"/>
      <family val="2"/>
      <scheme val="minor"/>
    </font>
    <font>
      <b/>
      <sz val="9"/>
      <color indexed="81"/>
      <name val="Tahoma"/>
      <family val="2"/>
    </font>
    <font>
      <sz val="9"/>
      <color theme="9"/>
      <name val="Calibri"/>
      <family val="2"/>
      <scheme val="minor"/>
    </font>
    <font>
      <b/>
      <sz val="10"/>
      <color rgb="FF7030A0"/>
      <name val="Calibri"/>
      <family val="2"/>
      <scheme val="minor"/>
    </font>
    <font>
      <sz val="10"/>
      <color indexed="8"/>
      <name val="Calibri"/>
    </font>
    <font>
      <b/>
      <sz val="10"/>
      <color indexed="8"/>
      <name val="Calibri"/>
    </font>
    <font>
      <b/>
      <sz val="10"/>
      <color theme="0"/>
      <name val="Arial Narrow"/>
    </font>
  </fonts>
  <fills count="33">
    <fill>
      <patternFill patternType="none"/>
    </fill>
    <fill>
      <patternFill patternType="gray125"/>
    </fill>
    <fill>
      <patternFill patternType="solid">
        <fgColor theme="4"/>
        <bgColor indexed="64"/>
      </patternFill>
    </fill>
    <fill>
      <patternFill patternType="solid">
        <fgColor theme="6"/>
        <bgColor indexed="64"/>
      </patternFill>
    </fill>
    <fill>
      <patternFill patternType="solid">
        <fgColor theme="3"/>
        <bgColor indexed="64"/>
      </patternFill>
    </fill>
    <fill>
      <patternFill patternType="solid">
        <fgColor theme="1"/>
        <bgColor indexed="64"/>
      </patternFill>
    </fill>
    <fill>
      <patternFill patternType="solid">
        <fgColor theme="2"/>
        <bgColor indexed="64"/>
      </patternFill>
    </fill>
    <fill>
      <patternFill patternType="solid">
        <fgColor rgb="FFFFFFCC"/>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0.34998626667073579"/>
        <bgColor indexed="64"/>
      </patternFill>
    </fill>
    <fill>
      <patternFill patternType="solid">
        <fgColor theme="8" tint="0.79998168889431442"/>
        <bgColor indexed="64"/>
      </patternFill>
    </fill>
    <fill>
      <patternFill patternType="solid">
        <fgColor rgb="FFFFFF00"/>
        <bgColor indexed="64"/>
      </patternFill>
    </fill>
    <fill>
      <patternFill patternType="solid">
        <fgColor theme="6" tint="-0.499984740745262"/>
        <bgColor indexed="64"/>
      </patternFill>
    </fill>
    <fill>
      <patternFill patternType="solid">
        <fgColor theme="9"/>
        <bgColor indexed="64"/>
      </patternFill>
    </fill>
    <fill>
      <patternFill patternType="solid">
        <fgColor theme="9" tint="0.39997558519241921"/>
        <bgColor indexed="64"/>
      </patternFill>
    </fill>
    <fill>
      <patternFill patternType="solid">
        <fgColor theme="0"/>
        <bgColor indexed="64"/>
      </patternFill>
    </fill>
    <fill>
      <patternFill patternType="solid">
        <fgColor rgb="FFD0232B"/>
        <bgColor indexed="64"/>
      </patternFill>
    </fill>
    <fill>
      <patternFill patternType="solid">
        <fgColor theme="0" tint="-4.9989318521683403E-2"/>
        <bgColor indexed="64"/>
      </patternFill>
    </fill>
    <fill>
      <patternFill patternType="solid">
        <fgColor theme="8"/>
        <bgColor indexed="64"/>
      </patternFill>
    </fill>
    <fill>
      <patternFill patternType="solid">
        <fgColor theme="4" tint="0.59999389629810485"/>
        <bgColor indexed="64"/>
      </patternFill>
    </fill>
    <fill>
      <patternFill patternType="solid">
        <fgColor rgb="FF333437"/>
        <bgColor indexed="64"/>
      </patternFill>
    </fill>
    <fill>
      <patternFill patternType="solid">
        <fgColor theme="0" tint="-0.499984740745262"/>
        <bgColor indexed="64"/>
      </patternFill>
    </fill>
    <fill>
      <patternFill patternType="solid">
        <fgColor theme="9" tint="0.79998168889431442"/>
        <bgColor indexed="64"/>
      </patternFill>
    </fill>
    <fill>
      <patternFill patternType="solid">
        <fgColor theme="5"/>
        <bgColor indexed="64"/>
      </patternFill>
    </fill>
    <fill>
      <patternFill patternType="solid">
        <fgColor theme="9" tint="-0.249977111117893"/>
        <bgColor indexed="64"/>
      </patternFill>
    </fill>
    <fill>
      <patternFill patternType="solid">
        <fgColor theme="6" tint="0.79998168889431442"/>
        <bgColor indexed="64"/>
      </patternFill>
    </fill>
    <fill>
      <patternFill patternType="solid">
        <fgColor theme="3" tint="-0.49998474074526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4" tint="-0.249977111117893"/>
        <bgColor indexed="64"/>
      </patternFill>
    </fill>
    <fill>
      <patternFill patternType="solid">
        <fgColor rgb="FF002060"/>
        <bgColor indexed="64"/>
      </patternFill>
    </fill>
    <fill>
      <patternFill patternType="solid">
        <fgColor rgb="FFFFFFCC"/>
        <bgColor rgb="FF000000"/>
      </patternFill>
    </fill>
  </fills>
  <borders count="72">
    <border>
      <left/>
      <right/>
      <top/>
      <bottom/>
      <diagonal/>
    </border>
    <border>
      <left/>
      <right/>
      <top style="hair">
        <color auto="1"/>
      </top>
      <bottom style="hair">
        <color auto="1"/>
      </bottom>
      <diagonal/>
    </border>
    <border>
      <left/>
      <right/>
      <top/>
      <bottom style="hair">
        <color auto="1"/>
      </bottom>
      <diagonal/>
    </border>
    <border>
      <left/>
      <right/>
      <top style="dotted">
        <color auto="1"/>
      </top>
      <bottom style="dotted">
        <color auto="1"/>
      </bottom>
      <diagonal/>
    </border>
    <border>
      <left/>
      <right/>
      <top/>
      <bottom style="medium">
        <color indexed="64"/>
      </bottom>
      <diagonal/>
    </border>
    <border>
      <left style="thin">
        <color auto="1"/>
      </left>
      <right/>
      <top/>
      <bottom/>
      <diagonal/>
    </border>
    <border>
      <left/>
      <right style="thin">
        <color auto="1"/>
      </right>
      <top/>
      <bottom/>
      <diagonal/>
    </border>
    <border>
      <left style="thin">
        <color auto="1"/>
      </left>
      <right/>
      <top style="dotted">
        <color auto="1"/>
      </top>
      <bottom style="dotted">
        <color auto="1"/>
      </bottom>
      <diagonal/>
    </border>
    <border>
      <left/>
      <right style="thin">
        <color auto="1"/>
      </right>
      <top style="dotted">
        <color auto="1"/>
      </top>
      <bottom style="dotted">
        <color auto="1"/>
      </bottom>
      <diagonal/>
    </border>
    <border>
      <left/>
      <right style="thin">
        <color auto="1"/>
      </right>
      <top style="dotted">
        <color auto="1"/>
      </top>
      <bottom/>
      <diagonal/>
    </border>
    <border>
      <left/>
      <right/>
      <top style="thin">
        <color auto="1"/>
      </top>
      <bottom/>
      <diagonal/>
    </border>
    <border>
      <left/>
      <right/>
      <top/>
      <bottom style="thin">
        <color indexed="64"/>
      </bottom>
      <diagonal/>
    </border>
    <border>
      <left/>
      <right/>
      <top style="medium">
        <color theme="3" tint="-0.24994659260841701"/>
      </top>
      <bottom/>
      <diagonal/>
    </border>
    <border>
      <left/>
      <right/>
      <top/>
      <bottom style="medium">
        <color theme="3" tint="-0.24994659260841701"/>
      </bottom>
      <diagonal/>
    </border>
    <border>
      <left style="thin">
        <color auto="1"/>
      </left>
      <right/>
      <top style="dotted">
        <color auto="1"/>
      </top>
      <bottom style="thin">
        <color indexed="64"/>
      </bottom>
      <diagonal/>
    </border>
    <border>
      <left style="thin">
        <color auto="1"/>
      </left>
      <right/>
      <top style="dotted">
        <color auto="1"/>
      </top>
      <bottom/>
      <diagonal/>
    </border>
    <border>
      <left/>
      <right/>
      <top/>
      <bottom style="medium">
        <color theme="0"/>
      </bottom>
      <diagonal/>
    </border>
    <border>
      <left/>
      <right/>
      <top style="thin">
        <color theme="0" tint="-0.499984740745262"/>
      </top>
      <bottom style="thin">
        <color theme="0" tint="-0.499984740745262"/>
      </bottom>
      <diagonal/>
    </border>
    <border>
      <left/>
      <right/>
      <top style="thin">
        <color theme="0" tint="-0.499984740745262"/>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top style="dotted">
        <color auto="1"/>
      </top>
      <bottom/>
      <diagonal/>
    </border>
    <border>
      <left/>
      <right/>
      <top style="dotted">
        <color auto="1"/>
      </top>
      <bottom style="thin">
        <color indexed="64"/>
      </bottom>
      <diagonal/>
    </border>
    <border>
      <left style="thin">
        <color auto="1"/>
      </left>
      <right style="thin">
        <color theme="0"/>
      </right>
      <top style="thin">
        <color auto="1"/>
      </top>
      <bottom/>
      <diagonal/>
    </border>
    <border>
      <left style="thin">
        <color theme="0"/>
      </left>
      <right style="thin">
        <color theme="0"/>
      </right>
      <top style="thin">
        <color auto="1"/>
      </top>
      <bottom/>
      <diagonal/>
    </border>
    <border>
      <left style="thin">
        <color theme="0"/>
      </left>
      <right style="thin">
        <color auto="1"/>
      </right>
      <top style="thin">
        <color auto="1"/>
      </top>
      <bottom/>
      <diagonal/>
    </border>
    <border>
      <left style="thick">
        <color theme="3"/>
      </left>
      <right style="thick">
        <color theme="3"/>
      </right>
      <top style="thick">
        <color theme="3"/>
      </top>
      <bottom style="thick">
        <color theme="3"/>
      </bottom>
      <diagonal/>
    </border>
    <border>
      <left/>
      <right/>
      <top style="thin">
        <color theme="0" tint="-0.34998626667073579"/>
      </top>
      <bottom style="thin">
        <color theme="0" tint="-0.34998626667073579"/>
      </bottom>
      <diagonal/>
    </border>
    <border>
      <left style="medium">
        <color theme="3"/>
      </left>
      <right style="medium">
        <color theme="3"/>
      </right>
      <top style="medium">
        <color theme="3"/>
      </top>
      <bottom style="medium">
        <color theme="3"/>
      </bottom>
      <diagonal/>
    </border>
    <border>
      <left style="thin">
        <color auto="1"/>
      </left>
      <right style="thin">
        <color auto="1"/>
      </right>
      <top style="thin">
        <color auto="1"/>
      </top>
      <bottom style="thin">
        <color auto="1"/>
      </bottom>
      <diagonal/>
    </border>
    <border>
      <left style="thin">
        <color theme="1"/>
      </left>
      <right style="thin">
        <color theme="1"/>
      </right>
      <top style="thin">
        <color theme="1"/>
      </top>
      <bottom/>
      <diagonal/>
    </border>
    <border>
      <left style="thin">
        <color theme="1"/>
      </left>
      <right style="thin">
        <color theme="1"/>
      </right>
      <top style="thin">
        <color theme="1"/>
      </top>
      <bottom style="thin">
        <color theme="1"/>
      </bottom>
      <diagonal/>
    </border>
    <border>
      <left/>
      <right/>
      <top style="medium">
        <color theme="0" tint="-0.34998626667073579"/>
      </top>
      <bottom style="dotted">
        <color theme="0" tint="-0.34998626667073579"/>
      </bottom>
      <diagonal/>
    </border>
    <border>
      <left/>
      <right/>
      <top style="dotted">
        <color theme="0" tint="-0.34998626667073579"/>
      </top>
      <bottom style="dotted">
        <color theme="0" tint="-0.34998626667073579"/>
      </bottom>
      <diagonal/>
    </border>
    <border>
      <left/>
      <right/>
      <top style="dotted">
        <color theme="0" tint="-0.34998626667073579"/>
      </top>
      <bottom style="medium">
        <color theme="0" tint="-0.34998626667073579"/>
      </bottom>
      <diagonal/>
    </border>
    <border>
      <left/>
      <right/>
      <top style="medium">
        <color theme="0" tint="-0.499984740745262"/>
      </top>
      <bottom style="medium">
        <color theme="0" tint="-0.499984740745262"/>
      </bottom>
      <diagonal/>
    </border>
    <border>
      <left/>
      <right/>
      <top style="medium">
        <color theme="0" tint="-0.499984740745262"/>
      </top>
      <bottom style="dotted">
        <color theme="0" tint="-0.499984740745262"/>
      </bottom>
      <diagonal/>
    </border>
    <border>
      <left/>
      <right/>
      <top style="dotted">
        <color theme="0" tint="-0.499984740745262"/>
      </top>
      <bottom style="dotted">
        <color theme="0" tint="-0.499984740745262"/>
      </bottom>
      <diagonal/>
    </border>
    <border>
      <left/>
      <right/>
      <top style="dotted">
        <color theme="0" tint="-0.499984740745262"/>
      </top>
      <bottom style="medium">
        <color theme="0" tint="-0.499984740745262"/>
      </bottom>
      <diagonal/>
    </border>
    <border>
      <left style="medium">
        <color theme="3" tint="-0.24994659260841701"/>
      </left>
      <right/>
      <top style="medium">
        <color theme="3" tint="-0.24994659260841701"/>
      </top>
      <bottom style="dotted">
        <color theme="0" tint="-0.499984740745262"/>
      </bottom>
      <diagonal/>
    </border>
    <border>
      <left/>
      <right style="medium">
        <color theme="3" tint="-0.24994659260841701"/>
      </right>
      <top style="medium">
        <color theme="3" tint="-0.24994659260841701"/>
      </top>
      <bottom style="dotted">
        <color theme="0" tint="-0.499984740745262"/>
      </bottom>
      <diagonal/>
    </border>
    <border>
      <left style="medium">
        <color theme="3" tint="-0.24994659260841701"/>
      </left>
      <right/>
      <top style="dotted">
        <color theme="0" tint="-0.499984740745262"/>
      </top>
      <bottom style="medium">
        <color theme="3" tint="-0.24994659260841701"/>
      </bottom>
      <diagonal/>
    </border>
    <border>
      <left/>
      <right style="medium">
        <color theme="3" tint="-0.24994659260841701"/>
      </right>
      <top style="dotted">
        <color theme="0" tint="-0.499984740745262"/>
      </top>
      <bottom style="medium">
        <color theme="3" tint="-0.24994659260841701"/>
      </bottom>
      <diagonal/>
    </border>
    <border>
      <left/>
      <right/>
      <top style="medium">
        <color auto="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dotted">
        <color indexed="64"/>
      </left>
      <right/>
      <top style="dotted">
        <color indexed="64"/>
      </top>
      <bottom/>
      <diagonal/>
    </border>
    <border>
      <left/>
      <right style="dotted">
        <color indexed="64"/>
      </right>
      <top style="dotted">
        <color indexed="64"/>
      </top>
      <bottom/>
      <diagonal/>
    </border>
    <border>
      <left style="dotted">
        <color indexed="64"/>
      </left>
      <right/>
      <top/>
      <bottom/>
      <diagonal/>
    </border>
    <border>
      <left/>
      <right style="dotted">
        <color indexed="64"/>
      </right>
      <top/>
      <bottom/>
      <diagonal/>
    </border>
    <border>
      <left style="dotted">
        <color indexed="64"/>
      </left>
      <right/>
      <top/>
      <bottom style="dotted">
        <color indexed="64"/>
      </bottom>
      <diagonal/>
    </border>
    <border>
      <left/>
      <right style="dotted">
        <color indexed="64"/>
      </right>
      <top/>
      <bottom style="dotted">
        <color indexed="64"/>
      </bottom>
      <diagonal/>
    </border>
    <border>
      <left/>
      <right/>
      <top/>
      <bottom style="dotted">
        <color indexed="64"/>
      </bottom>
      <diagonal/>
    </border>
    <border>
      <left style="medium">
        <color rgb="FFFF0000"/>
      </left>
      <right style="medium">
        <color rgb="FFFF0000"/>
      </right>
      <top style="medium">
        <color rgb="FFFF0000"/>
      </top>
      <bottom style="medium">
        <color rgb="FFFF0000"/>
      </bottom>
      <diagonal/>
    </border>
    <border>
      <left style="dotted">
        <color rgb="FFFF0000"/>
      </left>
      <right style="dotted">
        <color rgb="FFFF0000"/>
      </right>
      <top style="dotted">
        <color rgb="FFFF0000"/>
      </top>
      <bottom style="dotted">
        <color rgb="FFFF0000"/>
      </bottom>
      <diagonal/>
    </border>
    <border>
      <left/>
      <right/>
      <top/>
      <bottom style="dotted">
        <color theme="0" tint="-0.34998626667073579"/>
      </bottom>
      <diagonal/>
    </border>
    <border>
      <left/>
      <right/>
      <top style="dotted">
        <color theme="0" tint="-0.34998626667073579"/>
      </top>
      <bottom style="thin">
        <color theme="0" tint="-0.34998626667073579"/>
      </bottom>
      <diagonal/>
    </border>
    <border>
      <left/>
      <right/>
      <top style="thin">
        <color theme="0" tint="-0.34998626667073579"/>
      </top>
      <bottom style="dotted">
        <color theme="0" tint="-0.34998626667073579"/>
      </bottom>
      <diagonal/>
    </border>
    <border>
      <left/>
      <right/>
      <top style="hair">
        <color auto="1"/>
      </top>
      <bottom/>
      <diagonal/>
    </border>
    <border>
      <left style="medium">
        <color theme="1" tint="0.249977111117893"/>
      </left>
      <right style="medium">
        <color theme="1" tint="0.249977111117893"/>
      </right>
      <top style="medium">
        <color theme="1" tint="0.249977111117893"/>
      </top>
      <bottom style="medium">
        <color theme="1" tint="0.249977111117893"/>
      </bottom>
      <diagonal/>
    </border>
    <border>
      <left style="medium">
        <color rgb="FF9E1422"/>
      </left>
      <right/>
      <top style="medium">
        <color rgb="FF9E1422"/>
      </top>
      <bottom style="medium">
        <color rgb="FF9E1422"/>
      </bottom>
      <diagonal/>
    </border>
    <border>
      <left/>
      <right/>
      <top style="medium">
        <color rgb="FF808080"/>
      </top>
      <bottom style="dotted">
        <color rgb="FF808080"/>
      </bottom>
      <diagonal/>
    </border>
    <border>
      <left/>
      <right/>
      <top style="dotted">
        <color rgb="FF808080"/>
      </top>
      <bottom style="dotted">
        <color rgb="FF808080"/>
      </bottom>
      <diagonal/>
    </border>
    <border>
      <left/>
      <right/>
      <top style="dotted">
        <color rgb="FF808080"/>
      </top>
      <bottom style="medium">
        <color rgb="FF80808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1">
    <xf numFmtId="0" fontId="0" fillId="0" borderId="0"/>
    <xf numFmtId="9" fontId="2" fillId="0" borderId="0" applyFont="0" applyFill="0" applyBorder="0" applyAlignment="0" applyProtection="0"/>
    <xf numFmtId="0" fontId="11" fillId="0" borderId="0"/>
    <xf numFmtId="0" fontId="20" fillId="0" borderId="0" applyNumberFormat="0" applyFill="0" applyBorder="0" applyAlignment="0" applyProtection="0"/>
    <xf numFmtId="9" fontId="11" fillId="0" borderId="0" applyFont="0" applyFill="0" applyBorder="0" applyAlignment="0" applyProtection="0"/>
    <xf numFmtId="0" fontId="11" fillId="0" borderId="0"/>
    <xf numFmtId="43" fontId="11"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0" fontId="74" fillId="0" borderId="0"/>
  </cellStyleXfs>
  <cellXfs count="544">
    <xf numFmtId="0" fontId="0" fillId="0" borderId="0" xfId="0"/>
    <xf numFmtId="0" fontId="3" fillId="3" borderId="0" xfId="0" applyFont="1" applyFill="1" applyAlignment="1">
      <alignment vertical="center"/>
    </xf>
    <xf numFmtId="0" fontId="4" fillId="0" borderId="0" xfId="0" applyFont="1"/>
    <xf numFmtId="0" fontId="3" fillId="0" borderId="0" xfId="0" applyFont="1"/>
    <xf numFmtId="0" fontId="4" fillId="4" borderId="0" xfId="0" applyFont="1" applyFill="1"/>
    <xf numFmtId="0" fontId="4" fillId="5" borderId="0" xfId="0" applyFont="1" applyFill="1"/>
    <xf numFmtId="0" fontId="3" fillId="0" borderId="1" xfId="0" applyFont="1" applyBorder="1" applyAlignment="1">
      <alignment vertical="center"/>
    </xf>
    <xf numFmtId="0" fontId="4" fillId="0" borderId="0" xfId="0" applyFont="1" applyAlignment="1">
      <alignment horizontal="left" vertical="center" indent="1"/>
    </xf>
    <xf numFmtId="0" fontId="9" fillId="0" borderId="0" xfId="0" applyFont="1" applyAlignment="1">
      <alignment horizontal="left" indent="1"/>
    </xf>
    <xf numFmtId="166" fontId="3" fillId="0" borderId="1" xfId="0" applyNumberFormat="1" applyFont="1" applyBorder="1"/>
    <xf numFmtId="0" fontId="3" fillId="6" borderId="0" xfId="0" applyFont="1" applyFill="1" applyAlignment="1">
      <alignment vertical="center"/>
    </xf>
    <xf numFmtId="0" fontId="4" fillId="6" borderId="0" xfId="0" applyFont="1" applyFill="1"/>
    <xf numFmtId="167" fontId="9" fillId="0" borderId="0" xfId="1" applyNumberFormat="1" applyFont="1" applyAlignment="1">
      <alignment horizontal="right"/>
    </xf>
    <xf numFmtId="0" fontId="7" fillId="0" borderId="0" xfId="2" applyFont="1" applyAlignment="1">
      <alignment horizontal="left" indent="1"/>
    </xf>
    <xf numFmtId="0" fontId="10" fillId="0" borderId="0" xfId="2" applyFont="1" applyAlignment="1">
      <alignment horizontal="left" indent="2"/>
    </xf>
    <xf numFmtId="0" fontId="7" fillId="0" borderId="1" xfId="2" applyFont="1" applyBorder="1" applyAlignment="1">
      <alignment horizontal="left" indent="1"/>
    </xf>
    <xf numFmtId="0" fontId="10" fillId="0" borderId="0" xfId="2" applyFont="1" applyAlignment="1">
      <alignment horizontal="left" indent="1"/>
    </xf>
    <xf numFmtId="0" fontId="7" fillId="0" borderId="1" xfId="2" applyFont="1" applyBorder="1"/>
    <xf numFmtId="0" fontId="3" fillId="0" borderId="0" xfId="2" applyFont="1" applyAlignment="1">
      <alignment horizontal="left" indent="1"/>
    </xf>
    <xf numFmtId="0" fontId="5" fillId="9" borderId="0" xfId="0" applyFont="1" applyFill="1" applyAlignment="1">
      <alignment vertical="center"/>
    </xf>
    <xf numFmtId="0" fontId="4" fillId="9" borderId="0" xfId="0" applyFont="1" applyFill="1"/>
    <xf numFmtId="0" fontId="5" fillId="9" borderId="0" xfId="0" applyFont="1" applyFill="1"/>
    <xf numFmtId="0" fontId="12" fillId="9" borderId="0" xfId="2" applyFont="1" applyFill="1"/>
    <xf numFmtId="166" fontId="9" fillId="8" borderId="0" xfId="0" applyNumberFormat="1" applyFont="1" applyFill="1"/>
    <xf numFmtId="0" fontId="13" fillId="7" borderId="0" xfId="0" applyFont="1" applyFill="1" applyAlignment="1">
      <alignment horizontal="center" vertical="center"/>
    </xf>
    <xf numFmtId="0" fontId="10" fillId="0" borderId="1" xfId="2" applyFont="1" applyBorder="1" applyAlignment="1">
      <alignment horizontal="left" indent="1"/>
    </xf>
    <xf numFmtId="0" fontId="3" fillId="11" borderId="0" xfId="0" applyFont="1" applyFill="1"/>
    <xf numFmtId="0" fontId="4" fillId="11" borderId="0" xfId="0" applyFont="1" applyFill="1"/>
    <xf numFmtId="0" fontId="14" fillId="0" borderId="1" xfId="2" applyFont="1" applyBorder="1" applyAlignment="1">
      <alignment horizontal="left" indent="1"/>
    </xf>
    <xf numFmtId="167" fontId="4" fillId="0" borderId="0" xfId="1" applyNumberFormat="1" applyFont="1" applyAlignment="1">
      <alignment horizontal="right"/>
    </xf>
    <xf numFmtId="167" fontId="3" fillId="0" borderId="0" xfId="1" applyNumberFormat="1" applyFont="1" applyAlignment="1">
      <alignment horizontal="right"/>
    </xf>
    <xf numFmtId="0" fontId="15" fillId="0" borderId="0" xfId="0" applyFont="1" applyAlignment="1">
      <alignment horizontal="left" vertical="center" indent="1"/>
    </xf>
    <xf numFmtId="167" fontId="3" fillId="0" borderId="1" xfId="1" applyNumberFormat="1" applyFont="1" applyBorder="1" applyAlignment="1">
      <alignment horizontal="right"/>
    </xf>
    <xf numFmtId="165" fontId="6" fillId="7" borderId="0" xfId="0" applyNumberFormat="1" applyFont="1" applyFill="1" applyAlignment="1" applyProtection="1">
      <alignment horizontal="right" vertical="center"/>
      <protection locked="0"/>
    </xf>
    <xf numFmtId="165" fontId="13" fillId="7" borderId="0" xfId="0" applyNumberFormat="1" applyFont="1" applyFill="1" applyAlignment="1" applyProtection="1">
      <alignment horizontal="right" vertical="center"/>
      <protection locked="0"/>
    </xf>
    <xf numFmtId="0" fontId="8" fillId="0" borderId="0" xfId="0" applyFont="1" applyAlignment="1">
      <alignment horizontal="left" vertical="center" wrapText="1" indent="1"/>
    </xf>
    <xf numFmtId="0" fontId="21" fillId="16" borderId="0" xfId="2" applyFont="1" applyFill="1" applyAlignment="1">
      <alignment vertical="center"/>
    </xf>
    <xf numFmtId="0" fontId="22" fillId="16" borderId="0" xfId="2" applyFont="1" applyFill="1" applyAlignment="1">
      <alignment horizontal="center" vertical="center"/>
    </xf>
    <xf numFmtId="0" fontId="23" fillId="16" borderId="0" xfId="2" applyFont="1" applyFill="1"/>
    <xf numFmtId="0" fontId="21" fillId="16" borderId="0" xfId="2" applyFont="1" applyFill="1"/>
    <xf numFmtId="0" fontId="24" fillId="16" borderId="0" xfId="2" applyFont="1" applyFill="1" applyAlignment="1">
      <alignment vertical="center"/>
    </xf>
    <xf numFmtId="0" fontId="11" fillId="16" borderId="0" xfId="2" applyFill="1"/>
    <xf numFmtId="0" fontId="23" fillId="16" borderId="0" xfId="2" applyFont="1" applyFill="1" applyAlignment="1">
      <alignment horizontal="left" vertical="center"/>
    </xf>
    <xf numFmtId="0" fontId="21" fillId="16" borderId="2" xfId="2" applyFont="1" applyFill="1" applyBorder="1"/>
    <xf numFmtId="0" fontId="23" fillId="16" borderId="0" xfId="2" applyFont="1" applyFill="1" applyAlignment="1">
      <alignment vertical="center"/>
    </xf>
    <xf numFmtId="0" fontId="28" fillId="16" borderId="0" xfId="2" applyFont="1" applyFill="1"/>
    <xf numFmtId="169" fontId="28" fillId="16" borderId="0" xfId="2" applyNumberFormat="1" applyFont="1" applyFill="1"/>
    <xf numFmtId="0" fontId="29" fillId="16" borderId="0" xfId="2" applyFont="1" applyFill="1" applyAlignment="1">
      <alignment horizontal="left" vertical="top"/>
    </xf>
    <xf numFmtId="0" fontId="29" fillId="16" borderId="0" xfId="2" applyFont="1" applyFill="1" applyAlignment="1">
      <alignment horizontal="center"/>
    </xf>
    <xf numFmtId="0" fontId="30" fillId="16" borderId="0" xfId="2" applyFont="1" applyFill="1"/>
    <xf numFmtId="9" fontId="24" fillId="16" borderId="0" xfId="4" applyFont="1" applyFill="1"/>
    <xf numFmtId="0" fontId="21" fillId="16" borderId="0" xfId="2" applyFont="1" applyFill="1" applyAlignment="1">
      <alignment horizontal="left" indent="1"/>
    </xf>
    <xf numFmtId="171" fontId="23" fillId="16" borderId="0" xfId="6" applyNumberFormat="1" applyFont="1" applyFill="1"/>
    <xf numFmtId="9" fontId="29" fillId="16" borderId="0" xfId="4" applyFont="1" applyFill="1"/>
    <xf numFmtId="0" fontId="28" fillId="16" borderId="0" xfId="2" applyFont="1" applyFill="1" applyAlignment="1">
      <alignment vertical="center"/>
    </xf>
    <xf numFmtId="0" fontId="28" fillId="16" borderId="0" xfId="2" applyFont="1" applyFill="1" applyAlignment="1">
      <alignment horizontal="center" vertical="center"/>
    </xf>
    <xf numFmtId="0" fontId="31" fillId="16" borderId="0" xfId="0" applyFont="1" applyFill="1" applyAlignment="1">
      <alignment horizontal="center" vertical="center"/>
    </xf>
    <xf numFmtId="0" fontId="32" fillId="16" borderId="0" xfId="2" applyFont="1" applyFill="1" applyAlignment="1">
      <alignment horizontal="centerContinuous" vertical="center"/>
    </xf>
    <xf numFmtId="0" fontId="29" fillId="8" borderId="4" xfId="2" applyFont="1" applyFill="1" applyBorder="1" applyAlignment="1">
      <alignment vertical="center"/>
    </xf>
    <xf numFmtId="0" fontId="23" fillId="8" borderId="4" xfId="2" applyFont="1" applyFill="1" applyBorder="1" applyAlignment="1">
      <alignment horizontal="center" vertical="center"/>
    </xf>
    <xf numFmtId="169" fontId="28" fillId="16" borderId="3" xfId="4" applyNumberFormat="1" applyFont="1" applyFill="1" applyBorder="1" applyAlignment="1">
      <alignment vertical="center"/>
    </xf>
    <xf numFmtId="0" fontId="23" fillId="16" borderId="3" xfId="2" applyFont="1" applyFill="1" applyBorder="1"/>
    <xf numFmtId="172" fontId="23" fillId="16" borderId="3" xfId="6" applyNumberFormat="1" applyFont="1" applyFill="1" applyBorder="1" applyAlignment="1">
      <alignment vertical="center"/>
    </xf>
    <xf numFmtId="0" fontId="21" fillId="16" borderId="0" xfId="2" applyFont="1" applyFill="1" applyAlignment="1">
      <alignment horizontal="left" vertical="center" indent="1"/>
    </xf>
    <xf numFmtId="169" fontId="21" fillId="16" borderId="2" xfId="4" applyNumberFormat="1" applyFont="1" applyFill="1" applyBorder="1" applyAlignment="1">
      <alignment horizontal="left" vertical="center" indent="1"/>
    </xf>
    <xf numFmtId="172" fontId="23" fillId="16" borderId="0" xfId="6" applyNumberFormat="1" applyFont="1" applyFill="1" applyAlignment="1">
      <alignment vertical="center"/>
    </xf>
    <xf numFmtId="0" fontId="28" fillId="16" borderId="3" xfId="2" applyFont="1" applyFill="1" applyBorder="1" applyAlignment="1">
      <alignment horizontal="left" vertical="center"/>
    </xf>
    <xf numFmtId="0" fontId="33" fillId="16" borderId="0" xfId="2" applyFont="1" applyFill="1" applyAlignment="1">
      <alignment horizontal="left" vertical="center" indent="1"/>
    </xf>
    <xf numFmtId="171" fontId="23" fillId="16" borderId="0" xfId="6" applyNumberFormat="1" applyFont="1" applyFill="1" applyAlignment="1">
      <alignment vertical="center"/>
    </xf>
    <xf numFmtId="0" fontId="28" fillId="16" borderId="3" xfId="2" applyFont="1" applyFill="1" applyBorder="1" applyAlignment="1">
      <alignment vertical="center"/>
    </xf>
    <xf numFmtId="172" fontId="29" fillId="16" borderId="3" xfId="6" applyNumberFormat="1" applyFont="1" applyFill="1" applyBorder="1" applyAlignment="1">
      <alignment vertical="center"/>
    </xf>
    <xf numFmtId="171" fontId="0" fillId="16" borderId="0" xfId="6" applyNumberFormat="1" applyFont="1" applyFill="1"/>
    <xf numFmtId="0" fontId="33" fillId="16" borderId="0" xfId="2" applyFont="1" applyFill="1" applyAlignment="1">
      <alignment horizontal="right"/>
    </xf>
    <xf numFmtId="0" fontId="21" fillId="18" borderId="5" xfId="2" applyFont="1" applyFill="1" applyBorder="1" applyAlignment="1">
      <alignment horizontal="left" vertical="center"/>
    </xf>
    <xf numFmtId="169" fontId="26" fillId="18" borderId="6" xfId="4" applyNumberFormat="1" applyFont="1" applyFill="1" applyBorder="1" applyAlignment="1">
      <alignment horizontal="right" vertical="center"/>
    </xf>
    <xf numFmtId="0" fontId="28" fillId="18" borderId="7" xfId="2" applyFont="1" applyFill="1" applyBorder="1" applyAlignment="1">
      <alignment horizontal="left" vertical="center"/>
    </xf>
    <xf numFmtId="0" fontId="35" fillId="16" borderId="0" xfId="2" applyFont="1" applyFill="1" applyAlignment="1">
      <alignment horizontal="left" vertical="center" indent="1"/>
    </xf>
    <xf numFmtId="0" fontId="24" fillId="4" borderId="0" xfId="2" applyFont="1" applyFill="1" applyAlignment="1">
      <alignment vertical="center"/>
    </xf>
    <xf numFmtId="0" fontId="21" fillId="5" borderId="0" xfId="2" applyFont="1" applyFill="1" applyAlignment="1">
      <alignment vertical="center"/>
    </xf>
    <xf numFmtId="0" fontId="25" fillId="4" borderId="0" xfId="2" applyFont="1" applyFill="1" applyAlignment="1">
      <alignment vertical="center"/>
    </xf>
    <xf numFmtId="0" fontId="24" fillId="4" borderId="0" xfId="2" applyFont="1" applyFill="1" applyAlignment="1">
      <alignment horizontal="center" vertical="center"/>
    </xf>
    <xf numFmtId="0" fontId="24" fillId="4" borderId="0" xfId="2" applyFont="1" applyFill="1" applyAlignment="1">
      <alignment horizontal="right" vertical="center"/>
    </xf>
    <xf numFmtId="0" fontId="23" fillId="4" borderId="0" xfId="2" applyFont="1" applyFill="1"/>
    <xf numFmtId="0" fontId="28" fillId="11" borderId="3" xfId="2" applyFont="1" applyFill="1" applyBorder="1"/>
    <xf numFmtId="169" fontId="28" fillId="11" borderId="3" xfId="2" applyNumberFormat="1" applyFont="1" applyFill="1" applyBorder="1"/>
    <xf numFmtId="166" fontId="4" fillId="0" borderId="0" xfId="0" applyNumberFormat="1" applyFont="1"/>
    <xf numFmtId="0" fontId="4" fillId="0" borderId="0" xfId="0" applyFont="1" applyAlignment="1">
      <alignment horizontal="left" indent="1"/>
    </xf>
    <xf numFmtId="0" fontId="3" fillId="0" borderId="1" xfId="0" applyFont="1" applyBorder="1"/>
    <xf numFmtId="166" fontId="9" fillId="0" borderId="0" xfId="0" applyNumberFormat="1" applyFont="1"/>
    <xf numFmtId="0" fontId="3" fillId="11" borderId="13" xfId="0" applyFont="1" applyFill="1" applyBorder="1"/>
    <xf numFmtId="166" fontId="3" fillId="11" borderId="13" xfId="0" applyNumberFormat="1" applyFont="1" applyFill="1" applyBorder="1"/>
    <xf numFmtId="0" fontId="3" fillId="0" borderId="12" xfId="0" applyFont="1" applyBorder="1"/>
    <xf numFmtId="0" fontId="3" fillId="0" borderId="1" xfId="0" applyFont="1" applyBorder="1" applyAlignment="1">
      <alignment horizontal="left" indent="1"/>
    </xf>
    <xf numFmtId="166" fontId="4" fillId="0" borderId="12" xfId="0" applyNumberFormat="1" applyFont="1" applyBorder="1"/>
    <xf numFmtId="0" fontId="36" fillId="0" borderId="0" xfId="0" applyFont="1" applyAlignment="1">
      <alignment horizontal="center" vertical="center"/>
    </xf>
    <xf numFmtId="0" fontId="3" fillId="0" borderId="1" xfId="0" applyFont="1" applyBorder="1" applyAlignment="1">
      <alignment horizontal="left" vertical="center" indent="1"/>
    </xf>
    <xf numFmtId="0" fontId="9" fillId="20" borderId="0" xfId="0" applyFont="1" applyFill="1" applyAlignment="1">
      <alignment horizontal="left" indent="2"/>
    </xf>
    <xf numFmtId="167" fontId="9" fillId="20" borderId="0" xfId="1" applyNumberFormat="1" applyFont="1" applyFill="1" applyAlignment="1">
      <alignment horizontal="right"/>
    </xf>
    <xf numFmtId="166" fontId="9" fillId="0" borderId="1" xfId="0" applyNumberFormat="1" applyFont="1" applyBorder="1"/>
    <xf numFmtId="165" fontId="7" fillId="0" borderId="1" xfId="0" applyNumberFormat="1" applyFont="1" applyBorder="1" applyAlignment="1" applyProtection="1">
      <alignment horizontal="right" vertical="center"/>
      <protection locked="0"/>
    </xf>
    <xf numFmtId="167" fontId="37" fillId="7" borderId="0" xfId="1" applyNumberFormat="1" applyFont="1" applyFill="1" applyAlignment="1">
      <alignment horizontal="right"/>
    </xf>
    <xf numFmtId="167" fontId="18" fillId="7" borderId="0" xfId="1" applyNumberFormat="1" applyFont="1" applyFill="1" applyAlignment="1">
      <alignment horizontal="right"/>
    </xf>
    <xf numFmtId="1" fontId="18" fillId="7" borderId="0" xfId="0" applyNumberFormat="1" applyFont="1" applyFill="1" applyAlignment="1">
      <alignment horizontal="right"/>
    </xf>
    <xf numFmtId="0" fontId="38" fillId="8" borderId="0" xfId="2" applyFont="1" applyFill="1"/>
    <xf numFmtId="167" fontId="13" fillId="7" borderId="0" xfId="0" applyNumberFormat="1" applyFont="1" applyFill="1" applyAlignment="1" applyProtection="1">
      <alignment horizontal="center" vertical="center"/>
      <protection locked="0"/>
    </xf>
    <xf numFmtId="0" fontId="28" fillId="18" borderId="14" xfId="2" applyFont="1" applyFill="1" applyBorder="1" applyAlignment="1">
      <alignment horizontal="left" vertical="center"/>
    </xf>
    <xf numFmtId="0" fontId="21" fillId="18" borderId="15" xfId="2" applyFont="1" applyFill="1" applyBorder="1" applyAlignment="1">
      <alignment horizontal="left" vertical="center" indent="1"/>
    </xf>
    <xf numFmtId="0" fontId="25" fillId="17" borderId="0" xfId="2" applyFont="1" applyFill="1" applyAlignment="1">
      <alignment vertical="center"/>
    </xf>
    <xf numFmtId="0" fontId="24" fillId="17" borderId="0" xfId="2" applyFont="1" applyFill="1" applyAlignment="1">
      <alignment vertical="center"/>
    </xf>
    <xf numFmtId="0" fontId="24" fillId="17" borderId="0" xfId="2" applyFont="1" applyFill="1" applyAlignment="1">
      <alignment horizontal="right" vertical="center"/>
    </xf>
    <xf numFmtId="0" fontId="45" fillId="16" borderId="0" xfId="2" applyFont="1" applyFill="1" applyAlignment="1">
      <alignment vertical="center" wrapText="1"/>
    </xf>
    <xf numFmtId="0" fontId="46" fillId="16" borderId="0" xfId="0" applyFont="1" applyFill="1" applyAlignment="1">
      <alignment horizontal="centerContinuous" vertical="center"/>
    </xf>
    <xf numFmtId="0" fontId="47" fillId="8" borderId="4" xfId="2" applyFont="1" applyFill="1" applyBorder="1" applyAlignment="1">
      <alignment horizontal="center" vertical="center" wrapText="1"/>
    </xf>
    <xf numFmtId="0" fontId="48" fillId="16" borderId="0" xfId="2" applyFont="1" applyFill="1" applyAlignment="1">
      <alignment vertical="center"/>
    </xf>
    <xf numFmtId="0" fontId="49" fillId="16" borderId="0" xfId="2" applyFont="1" applyFill="1" applyAlignment="1">
      <alignment vertical="center"/>
    </xf>
    <xf numFmtId="169" fontId="28" fillId="18" borderId="3" xfId="4" applyNumberFormat="1" applyFont="1" applyFill="1" applyBorder="1" applyAlignment="1">
      <alignment vertical="center"/>
    </xf>
    <xf numFmtId="172" fontId="29" fillId="18" borderId="3" xfId="6" applyNumberFormat="1" applyFont="1" applyFill="1" applyBorder="1" applyAlignment="1">
      <alignment vertical="center"/>
    </xf>
    <xf numFmtId="167" fontId="34" fillId="18" borderId="3" xfId="1" applyNumberFormat="1" applyFont="1" applyFill="1" applyBorder="1" applyAlignment="1">
      <alignment vertical="center"/>
    </xf>
    <xf numFmtId="169" fontId="21" fillId="16" borderId="3" xfId="4" applyNumberFormat="1" applyFont="1" applyFill="1" applyBorder="1" applyAlignment="1">
      <alignment horizontal="left" vertical="center"/>
    </xf>
    <xf numFmtId="169" fontId="33" fillId="16" borderId="3" xfId="4" applyNumberFormat="1" applyFont="1" applyFill="1" applyBorder="1" applyAlignment="1">
      <alignment horizontal="left" vertical="center"/>
    </xf>
    <xf numFmtId="167" fontId="51" fillId="16" borderId="3" xfId="6" applyNumberFormat="1" applyFont="1" applyFill="1" applyBorder="1" applyAlignment="1">
      <alignment horizontal="right" vertical="center"/>
    </xf>
    <xf numFmtId="167" fontId="51" fillId="16" borderId="3" xfId="6" applyNumberFormat="1" applyFont="1" applyFill="1" applyBorder="1" applyAlignment="1">
      <alignment vertical="center"/>
    </xf>
    <xf numFmtId="169" fontId="52" fillId="16" borderId="3" xfId="4" applyNumberFormat="1" applyFont="1" applyFill="1" applyBorder="1" applyAlignment="1">
      <alignment horizontal="left" vertical="center"/>
    </xf>
    <xf numFmtId="167" fontId="53" fillId="16" borderId="3" xfId="6" applyNumberFormat="1" applyFont="1" applyFill="1" applyBorder="1" applyAlignment="1">
      <alignment horizontal="right" vertical="center"/>
    </xf>
    <xf numFmtId="167" fontId="53" fillId="16" borderId="3" xfId="6" applyNumberFormat="1" applyFont="1" applyFill="1" applyBorder="1" applyAlignment="1">
      <alignment vertical="center"/>
    </xf>
    <xf numFmtId="9" fontId="0" fillId="0" borderId="0" xfId="0" applyNumberFormat="1"/>
    <xf numFmtId="0" fontId="2" fillId="16" borderId="0" xfId="7" applyFill="1"/>
    <xf numFmtId="0" fontId="54" fillId="17" borderId="0" xfId="7" applyFont="1" applyFill="1" applyAlignment="1">
      <alignment vertical="center"/>
    </xf>
    <xf numFmtId="0" fontId="54" fillId="16" borderId="16" xfId="7" applyFont="1" applyFill="1" applyBorder="1" applyAlignment="1">
      <alignment vertical="center"/>
    </xf>
    <xf numFmtId="0" fontId="55" fillId="21" borderId="0" xfId="7" applyFont="1" applyFill="1" applyAlignment="1">
      <alignment vertical="center"/>
    </xf>
    <xf numFmtId="0" fontId="56" fillId="17" borderId="0" xfId="7" applyFont="1" applyFill="1" applyAlignment="1">
      <alignment vertical="center"/>
    </xf>
    <xf numFmtId="0" fontId="41" fillId="17" borderId="0" xfId="7" applyFont="1" applyFill="1" applyAlignment="1">
      <alignment horizontal="center" vertical="center"/>
    </xf>
    <xf numFmtId="0" fontId="43" fillId="17" borderId="0" xfId="7" applyFont="1" applyFill="1" applyAlignment="1">
      <alignment vertical="center"/>
    </xf>
    <xf numFmtId="0" fontId="41" fillId="17" borderId="0" xfId="7" applyFont="1" applyFill="1" applyAlignment="1">
      <alignment vertical="center"/>
    </xf>
    <xf numFmtId="0" fontId="57" fillId="16" borderId="0" xfId="7" applyFont="1" applyFill="1" applyAlignment="1">
      <alignment vertical="center"/>
    </xf>
    <xf numFmtId="0" fontId="42" fillId="16" borderId="0" xfId="7" applyFont="1" applyFill="1" applyAlignment="1">
      <alignment vertical="center"/>
    </xf>
    <xf numFmtId="0" fontId="42" fillId="16" borderId="0" xfId="7" applyFont="1" applyFill="1" applyAlignment="1">
      <alignment horizontal="center" vertical="center"/>
    </xf>
    <xf numFmtId="0" fontId="43" fillId="16" borderId="0" xfId="7" applyFont="1" applyFill="1" applyAlignment="1">
      <alignment vertical="center"/>
    </xf>
    <xf numFmtId="0" fontId="41" fillId="22" borderId="17" xfId="7" applyFont="1" applyFill="1" applyBorder="1" applyAlignment="1">
      <alignment vertical="center"/>
    </xf>
    <xf numFmtId="0" fontId="59" fillId="16" borderId="18" xfId="7" applyFont="1" applyFill="1" applyBorder="1" applyAlignment="1">
      <alignment horizontal="left" vertical="center" indent="1"/>
    </xf>
    <xf numFmtId="0" fontId="42" fillId="16" borderId="18" xfId="7" applyFont="1" applyFill="1" applyBorder="1" applyAlignment="1">
      <alignment horizontal="left" vertical="center" indent="1"/>
    </xf>
    <xf numFmtId="0" fontId="42" fillId="16" borderId="18" xfId="7" applyFont="1" applyFill="1" applyBorder="1" applyAlignment="1">
      <alignment vertical="center"/>
    </xf>
    <xf numFmtId="174" fontId="59" fillId="16" borderId="0" xfId="7" applyNumberFormat="1" applyFont="1" applyFill="1" applyAlignment="1">
      <alignment horizontal="right" vertical="center"/>
    </xf>
    <xf numFmtId="176" fontId="61" fillId="16" borderId="0" xfId="7" applyNumberFormat="1" applyFont="1" applyFill="1" applyAlignment="1">
      <alignment vertical="center"/>
    </xf>
    <xf numFmtId="0" fontId="43" fillId="16" borderId="0" xfId="7" applyFont="1" applyFill="1" applyAlignment="1">
      <alignment horizontal="left" vertical="center" indent="1"/>
    </xf>
    <xf numFmtId="0" fontId="2" fillId="16" borderId="0" xfId="7" applyFill="1" applyAlignment="1">
      <alignment vertical="center"/>
    </xf>
    <xf numFmtId="0" fontId="42" fillId="8" borderId="17" xfId="7" applyFont="1" applyFill="1" applyBorder="1" applyAlignment="1">
      <alignment vertical="center"/>
    </xf>
    <xf numFmtId="0" fontId="2" fillId="8" borderId="17" xfId="7" applyFill="1" applyBorder="1" applyAlignment="1">
      <alignment vertical="center"/>
    </xf>
    <xf numFmtId="8" fontId="61" fillId="8" borderId="17" xfId="7" applyNumberFormat="1" applyFont="1" applyFill="1" applyBorder="1" applyAlignment="1">
      <alignment horizontal="right" vertical="center"/>
    </xf>
    <xf numFmtId="178" fontId="60" fillId="8" borderId="17" xfId="7" applyNumberFormat="1" applyFont="1" applyFill="1" applyBorder="1" applyAlignment="1">
      <alignment vertical="center"/>
    </xf>
    <xf numFmtId="0" fontId="56" fillId="17" borderId="0" xfId="7" applyFont="1" applyFill="1"/>
    <xf numFmtId="0" fontId="41" fillId="17" borderId="0" xfId="7" applyFont="1" applyFill="1" applyAlignment="1">
      <alignment horizontal="center"/>
    </xf>
    <xf numFmtId="0" fontId="43" fillId="17" borderId="0" xfId="7" applyFont="1" applyFill="1"/>
    <xf numFmtId="0" fontId="57" fillId="8" borderId="0" xfId="7" applyFont="1" applyFill="1"/>
    <xf numFmtId="0" fontId="2" fillId="8" borderId="0" xfId="7" applyFill="1"/>
    <xf numFmtId="0" fontId="42" fillId="16" borderId="0" xfId="7" applyFont="1" applyFill="1" applyAlignment="1">
      <alignment horizontal="left"/>
    </xf>
    <xf numFmtId="0" fontId="42" fillId="16" borderId="0" xfId="7" applyFont="1" applyFill="1" applyAlignment="1">
      <alignment horizontal="center"/>
    </xf>
    <xf numFmtId="0" fontId="0" fillId="16" borderId="0" xfId="0" applyFill="1" applyAlignment="1">
      <alignment vertical="center"/>
    </xf>
    <xf numFmtId="173" fontId="2" fillId="8" borderId="0" xfId="7" applyNumberFormat="1" applyFill="1" applyAlignment="1">
      <alignment horizontal="right" vertical="center"/>
    </xf>
    <xf numFmtId="0" fontId="42" fillId="8" borderId="0" xfId="7" applyFont="1" applyFill="1" applyAlignment="1">
      <alignment horizontal="right"/>
    </xf>
    <xf numFmtId="179" fontId="29" fillId="18" borderId="3" xfId="6" applyNumberFormat="1" applyFont="1" applyFill="1" applyBorder="1" applyAlignment="1">
      <alignment horizontal="right" vertical="center"/>
    </xf>
    <xf numFmtId="179" fontId="23" fillId="16" borderId="3" xfId="6" applyNumberFormat="1" applyFont="1" applyFill="1" applyBorder="1" applyAlignment="1">
      <alignment horizontal="right" vertical="center"/>
    </xf>
    <xf numFmtId="172" fontId="11" fillId="16" borderId="0" xfId="2" applyNumberFormat="1" applyFill="1"/>
    <xf numFmtId="0" fontId="34" fillId="8" borderId="4" xfId="2" applyFont="1" applyFill="1" applyBorder="1" applyAlignment="1">
      <alignment vertical="center"/>
    </xf>
    <xf numFmtId="0" fontId="21" fillId="18" borderId="5" xfId="2" applyFont="1" applyFill="1" applyBorder="1" applyAlignment="1">
      <alignment horizontal="left" vertical="center" indent="1"/>
    </xf>
    <xf numFmtId="0" fontId="28" fillId="18" borderId="19" xfId="2" applyFont="1" applyFill="1" applyBorder="1" applyAlignment="1">
      <alignment horizontal="left" vertical="center"/>
    </xf>
    <xf numFmtId="0" fontId="50" fillId="16" borderId="0" xfId="0" applyFont="1" applyFill="1" applyAlignment="1">
      <alignment vertical="center"/>
    </xf>
    <xf numFmtId="0" fontId="39" fillId="16" borderId="0" xfId="2" applyFont="1" applyFill="1" applyAlignment="1">
      <alignment horizontal="right" indent="1"/>
    </xf>
    <xf numFmtId="169" fontId="29" fillId="16" borderId="0" xfId="4" applyNumberFormat="1" applyFont="1" applyFill="1"/>
    <xf numFmtId="172" fontId="23" fillId="18" borderId="0" xfId="6" applyNumberFormat="1" applyFont="1" applyFill="1" applyBorder="1" applyAlignment="1">
      <alignment horizontal="right" vertical="center"/>
    </xf>
    <xf numFmtId="172" fontId="29" fillId="18" borderId="3" xfId="6" applyNumberFormat="1" applyFont="1" applyFill="1" applyBorder="1" applyAlignment="1">
      <alignment horizontal="right" vertical="center"/>
    </xf>
    <xf numFmtId="172" fontId="23" fillId="18" borderId="21" xfId="6" applyNumberFormat="1" applyFont="1" applyFill="1" applyBorder="1" applyAlignment="1">
      <alignment horizontal="right" vertical="center"/>
    </xf>
    <xf numFmtId="172" fontId="29" fillId="18" borderId="1" xfId="6" applyNumberFormat="1" applyFont="1" applyFill="1" applyBorder="1" applyAlignment="1">
      <alignment horizontal="right" vertical="center"/>
    </xf>
    <xf numFmtId="172" fontId="29" fillId="18" borderId="22" xfId="6" applyNumberFormat="1" applyFont="1" applyFill="1" applyBorder="1" applyAlignment="1">
      <alignment horizontal="right" vertical="center"/>
    </xf>
    <xf numFmtId="0" fontId="25" fillId="19" borderId="23" xfId="2" applyFont="1" applyFill="1" applyBorder="1" applyAlignment="1">
      <alignment horizontal="left" vertical="center"/>
    </xf>
    <xf numFmtId="0" fontId="25" fillId="19" borderId="24" xfId="2" applyFont="1" applyFill="1" applyBorder="1" applyAlignment="1">
      <alignment horizontal="centerContinuous" vertical="center"/>
    </xf>
    <xf numFmtId="0" fontId="25" fillId="19" borderId="25" xfId="2" applyFont="1" applyFill="1" applyBorder="1" applyAlignment="1">
      <alignment horizontal="centerContinuous" vertical="center"/>
    </xf>
    <xf numFmtId="0" fontId="64" fillId="16" borderId="16" xfId="7" applyFont="1" applyFill="1" applyBorder="1" applyAlignment="1">
      <alignment vertical="center"/>
    </xf>
    <xf numFmtId="0" fontId="0" fillId="16" borderId="0" xfId="7" applyFont="1" applyFill="1" applyAlignment="1">
      <alignment horizontal="left" vertical="center" indent="1"/>
    </xf>
    <xf numFmtId="0" fontId="59" fillId="0" borderId="0" xfId="7" applyFont="1" applyAlignment="1">
      <alignment vertical="center"/>
    </xf>
    <xf numFmtId="0" fontId="65" fillId="22" borderId="0" xfId="7" applyFont="1" applyFill="1" applyAlignment="1">
      <alignment horizontal="left" vertical="center"/>
    </xf>
    <xf numFmtId="175" fontId="66" fillId="16" borderId="0" xfId="7" applyNumberFormat="1" applyFont="1" applyFill="1" applyAlignment="1">
      <alignment horizontal="left" vertical="center"/>
    </xf>
    <xf numFmtId="177" fontId="66" fillId="16" borderId="0" xfId="7" applyNumberFormat="1" applyFont="1" applyFill="1" applyAlignment="1">
      <alignment horizontal="left" vertical="center"/>
    </xf>
    <xf numFmtId="6" fontId="29" fillId="16" borderId="0" xfId="4" applyNumberFormat="1" applyFont="1" applyFill="1"/>
    <xf numFmtId="179" fontId="23" fillId="16" borderId="0" xfId="4" applyNumberFormat="1" applyFont="1" applyFill="1"/>
    <xf numFmtId="180" fontId="23" fillId="18" borderId="6" xfId="6" applyNumberFormat="1" applyFont="1" applyFill="1" applyBorder="1" applyAlignment="1">
      <alignment horizontal="right" vertical="center"/>
    </xf>
    <xf numFmtId="180" fontId="29" fillId="18" borderId="8" xfId="6" applyNumberFormat="1" applyFont="1" applyFill="1" applyBorder="1" applyAlignment="1">
      <alignment horizontal="right" vertical="center"/>
    </xf>
    <xf numFmtId="180" fontId="23" fillId="18" borderId="9" xfId="6" applyNumberFormat="1" applyFont="1" applyFill="1" applyBorder="1" applyAlignment="1">
      <alignment horizontal="right" vertical="center"/>
    </xf>
    <xf numFmtId="180" fontId="29" fillId="18" borderId="20" xfId="6" applyNumberFormat="1" applyFont="1" applyFill="1" applyBorder="1" applyAlignment="1">
      <alignment horizontal="right" vertical="center"/>
    </xf>
    <xf numFmtId="44" fontId="29" fillId="6" borderId="26" xfId="9" applyFont="1" applyFill="1" applyBorder="1" applyAlignment="1">
      <alignment horizontal="right" vertical="center"/>
    </xf>
    <xf numFmtId="0" fontId="59" fillId="0" borderId="0" xfId="7" applyFont="1"/>
    <xf numFmtId="167" fontId="67" fillId="7" borderId="0" xfId="7" applyNumberFormat="1" applyFont="1" applyFill="1" applyAlignment="1">
      <alignment vertical="center"/>
    </xf>
    <xf numFmtId="0" fontId="65" fillId="22" borderId="17" xfId="7" applyFont="1" applyFill="1" applyBorder="1" applyAlignment="1">
      <alignment horizontal="right" vertical="center"/>
    </xf>
    <xf numFmtId="0" fontId="65" fillId="22" borderId="17" xfId="7" applyFont="1" applyFill="1" applyBorder="1" applyAlignment="1">
      <alignment horizontal="center" vertical="center"/>
    </xf>
    <xf numFmtId="0" fontId="65" fillId="22" borderId="17" xfId="7" applyFont="1" applyFill="1" applyBorder="1" applyAlignment="1">
      <alignment horizontal="left" vertical="center"/>
    </xf>
    <xf numFmtId="0" fontId="68" fillId="22" borderId="17" xfId="7" applyFont="1" applyFill="1" applyBorder="1" applyAlignment="1">
      <alignment horizontal="center" vertical="center"/>
    </xf>
    <xf numFmtId="0" fontId="58" fillId="22" borderId="0" xfId="7" applyFont="1" applyFill="1" applyAlignment="1">
      <alignment horizontal="center" vertical="center"/>
    </xf>
    <xf numFmtId="176" fontId="72" fillId="16" borderId="0" xfId="7" applyNumberFormat="1" applyFont="1" applyFill="1" applyAlignment="1">
      <alignment vertical="center"/>
    </xf>
    <xf numFmtId="0" fontId="73" fillId="0" borderId="0" xfId="0" applyFont="1" applyAlignment="1">
      <alignment vertical="center"/>
    </xf>
    <xf numFmtId="174" fontId="61" fillId="16" borderId="18" xfId="7" applyNumberFormat="1" applyFont="1" applyFill="1" applyBorder="1" applyAlignment="1">
      <alignment horizontal="right" vertical="center"/>
    </xf>
    <xf numFmtId="174" fontId="61" fillId="16" borderId="0" xfId="7" applyNumberFormat="1" applyFont="1" applyFill="1" applyAlignment="1">
      <alignment horizontal="right" vertical="center"/>
    </xf>
    <xf numFmtId="8" fontId="59" fillId="8" borderId="17" xfId="7" applyNumberFormat="1" applyFont="1" applyFill="1" applyBorder="1" applyAlignment="1">
      <alignment horizontal="right" vertical="center"/>
    </xf>
    <xf numFmtId="0" fontId="76" fillId="0" borderId="0" xfId="10" applyFont="1"/>
    <xf numFmtId="0" fontId="76" fillId="0" borderId="0" xfId="10" applyFont="1" applyAlignment="1">
      <alignment horizontal="right"/>
    </xf>
    <xf numFmtId="0" fontId="80" fillId="4" borderId="0" xfId="10" applyFont="1" applyFill="1" applyAlignment="1">
      <alignment vertical="center"/>
    </xf>
    <xf numFmtId="0" fontId="0" fillId="4" borderId="0" xfId="0" applyFill="1"/>
    <xf numFmtId="0" fontId="75" fillId="0" borderId="0" xfId="10" applyFont="1"/>
    <xf numFmtId="0" fontId="71" fillId="16" borderId="0" xfId="10" applyFont="1" applyFill="1" applyAlignment="1">
      <alignment horizontal="center"/>
    </xf>
    <xf numFmtId="0" fontId="0" fillId="16" borderId="0" xfId="0" applyFill="1"/>
    <xf numFmtId="0" fontId="76" fillId="16" borderId="0" xfId="10" applyFont="1" applyFill="1"/>
    <xf numFmtId="181" fontId="76" fillId="16" borderId="0" xfId="10" applyNumberFormat="1" applyFont="1" applyFill="1" applyAlignment="1">
      <alignment horizontal="center"/>
    </xf>
    <xf numFmtId="181" fontId="79" fillId="8" borderId="0" xfId="10" applyNumberFormat="1" applyFont="1" applyFill="1" applyAlignment="1">
      <alignment horizontal="center" vertical="center"/>
    </xf>
    <xf numFmtId="181" fontId="76" fillId="8" borderId="0" xfId="10" applyNumberFormat="1" applyFont="1" applyFill="1" applyAlignment="1">
      <alignment horizontal="center"/>
    </xf>
    <xf numFmtId="0" fontId="76" fillId="11" borderId="0" xfId="10" applyFont="1" applyFill="1"/>
    <xf numFmtId="0" fontId="0" fillId="11" borderId="0" xfId="0" applyFill="1"/>
    <xf numFmtId="0" fontId="81" fillId="19" borderId="0" xfId="10" applyFont="1" applyFill="1" applyAlignment="1">
      <alignment horizontal="left"/>
    </xf>
    <xf numFmtId="0" fontId="54" fillId="19" borderId="0" xfId="10" applyFont="1" applyFill="1"/>
    <xf numFmtId="0" fontId="43" fillId="19" borderId="0" xfId="0" applyFont="1" applyFill="1"/>
    <xf numFmtId="0" fontId="71" fillId="0" borderId="0" xfId="10" applyFont="1" applyAlignment="1">
      <alignment horizontal="left"/>
    </xf>
    <xf numFmtId="182" fontId="76" fillId="0" borderId="30" xfId="10" applyNumberFormat="1" applyFont="1" applyBorder="1" applyAlignment="1">
      <alignment horizontal="center" vertical="center"/>
    </xf>
    <xf numFmtId="0" fontId="71" fillId="0" borderId="0" xfId="10" applyFont="1"/>
    <xf numFmtId="182" fontId="70" fillId="0" borderId="29" xfId="10" applyNumberFormat="1" applyFont="1" applyBorder="1" applyAlignment="1">
      <alignment horizontal="center" vertical="center"/>
    </xf>
    <xf numFmtId="0" fontId="71" fillId="0" borderId="0" xfId="10" applyFont="1" applyAlignment="1">
      <alignment horizontal="center"/>
    </xf>
    <xf numFmtId="181" fontId="76" fillId="0" borderId="0" xfId="10" applyNumberFormat="1" applyFont="1" applyAlignment="1">
      <alignment horizontal="center"/>
    </xf>
    <xf numFmtId="182" fontId="70" fillId="0" borderId="31" xfId="10" applyNumberFormat="1" applyFont="1" applyBorder="1" applyAlignment="1">
      <alignment horizontal="center" vertical="center"/>
    </xf>
    <xf numFmtId="181" fontId="76" fillId="0" borderId="31" xfId="9" applyNumberFormat="1" applyFont="1" applyFill="1" applyBorder="1" applyAlignment="1">
      <alignment horizontal="center"/>
    </xf>
    <xf numFmtId="0" fontId="0" fillId="16" borderId="36" xfId="0" applyFill="1" applyBorder="1"/>
    <xf numFmtId="181" fontId="79" fillId="7" borderId="36" xfId="10" applyNumberFormat="1" applyFont="1" applyFill="1" applyBorder="1" applyAlignment="1">
      <alignment horizontal="center" vertical="center"/>
    </xf>
    <xf numFmtId="0" fontId="0" fillId="16" borderId="36" xfId="0" applyFill="1" applyBorder="1" applyAlignment="1">
      <alignment vertical="center"/>
    </xf>
    <xf numFmtId="0" fontId="0" fillId="16" borderId="37" xfId="0" applyFill="1" applyBorder="1"/>
    <xf numFmtId="181" fontId="79" fillId="7" borderId="37" xfId="10" applyNumberFormat="1" applyFont="1" applyFill="1" applyBorder="1" applyAlignment="1">
      <alignment horizontal="center" vertical="center"/>
    </xf>
    <xf numFmtId="0" fontId="0" fillId="16" borderId="37" xfId="0" applyFill="1" applyBorder="1" applyAlignment="1">
      <alignment vertical="center"/>
    </xf>
    <xf numFmtId="0" fontId="0" fillId="16" borderId="38" xfId="0" applyFill="1" applyBorder="1"/>
    <xf numFmtId="181" fontId="79" fillId="7" borderId="38" xfId="10" applyNumberFormat="1" applyFont="1" applyFill="1" applyBorder="1" applyAlignment="1">
      <alignment horizontal="center" vertical="center"/>
    </xf>
    <xf numFmtId="0" fontId="0" fillId="16" borderId="38" xfId="0" applyFill="1" applyBorder="1" applyAlignment="1">
      <alignment vertical="center"/>
    </xf>
    <xf numFmtId="182" fontId="70" fillId="16" borderId="36" xfId="10" applyNumberFormat="1" applyFont="1" applyFill="1" applyBorder="1" applyAlignment="1">
      <alignment horizontal="center" vertical="center"/>
    </xf>
    <xf numFmtId="182" fontId="0" fillId="16" borderId="36" xfId="0" applyNumberFormat="1" applyFill="1" applyBorder="1"/>
    <xf numFmtId="182" fontId="70" fillId="16" borderId="37" xfId="10" applyNumberFormat="1" applyFont="1" applyFill="1" applyBorder="1" applyAlignment="1">
      <alignment horizontal="center" vertical="center"/>
    </xf>
    <xf numFmtId="182" fontId="0" fillId="16" borderId="37" xfId="0" applyNumberFormat="1" applyFill="1" applyBorder="1"/>
    <xf numFmtId="0" fontId="75" fillId="11" borderId="38" xfId="10" applyFont="1" applyFill="1" applyBorder="1" applyAlignment="1">
      <alignment horizontal="center" vertical="center"/>
    </xf>
    <xf numFmtId="182" fontId="75" fillId="11" borderId="38" xfId="10" applyNumberFormat="1" applyFont="1" applyFill="1" applyBorder="1" applyAlignment="1">
      <alignment horizontal="center" vertical="center"/>
    </xf>
    <xf numFmtId="182" fontId="0" fillId="16" borderId="38" xfId="0" applyNumberFormat="1" applyFill="1" applyBorder="1"/>
    <xf numFmtId="182" fontId="70" fillId="16" borderId="39" xfId="10" applyNumberFormat="1" applyFont="1" applyFill="1" applyBorder="1" applyAlignment="1">
      <alignment horizontal="center" vertical="center"/>
    </xf>
    <xf numFmtId="182" fontId="70" fillId="16" borderId="40" xfId="10" applyNumberFormat="1" applyFont="1" applyFill="1" applyBorder="1" applyAlignment="1">
      <alignment horizontal="center" vertical="center"/>
    </xf>
    <xf numFmtId="182" fontId="75" fillId="11" borderId="41" xfId="10" applyNumberFormat="1" applyFont="1" applyFill="1" applyBorder="1" applyAlignment="1">
      <alignment horizontal="center" vertical="center"/>
    </xf>
    <xf numFmtId="182" fontId="75" fillId="11" borderId="42" xfId="10" applyNumberFormat="1" applyFont="1" applyFill="1" applyBorder="1" applyAlignment="1">
      <alignment horizontal="center" vertical="center"/>
    </xf>
    <xf numFmtId="0" fontId="0" fillId="24" borderId="35" xfId="0" applyFill="1" applyBorder="1"/>
    <xf numFmtId="0" fontId="75" fillId="24" borderId="35" xfId="10" applyFont="1" applyFill="1" applyBorder="1" applyAlignment="1">
      <alignment horizontal="center"/>
    </xf>
    <xf numFmtId="0" fontId="0" fillId="16" borderId="35" xfId="0" applyFill="1" applyBorder="1"/>
    <xf numFmtId="0" fontId="0" fillId="16" borderId="35" xfId="0" applyFill="1" applyBorder="1" applyAlignment="1">
      <alignment vertical="center"/>
    </xf>
    <xf numFmtId="0" fontId="61" fillId="3" borderId="35" xfId="0" applyFont="1" applyFill="1" applyBorder="1" applyAlignment="1">
      <alignment vertical="center"/>
    </xf>
    <xf numFmtId="0" fontId="70" fillId="3" borderId="35" xfId="10" applyFont="1" applyFill="1" applyBorder="1" applyAlignment="1">
      <alignment vertical="center"/>
    </xf>
    <xf numFmtId="0" fontId="75" fillId="11" borderId="0" xfId="10" applyFont="1" applyFill="1" applyAlignment="1">
      <alignment horizontal="left"/>
    </xf>
    <xf numFmtId="181" fontId="75" fillId="11" borderId="28" xfId="9" applyNumberFormat="1" applyFont="1" applyFill="1" applyBorder="1" applyAlignment="1">
      <alignment horizontal="center"/>
    </xf>
    <xf numFmtId="0" fontId="42" fillId="0" borderId="43" xfId="0" applyFont="1" applyBorder="1"/>
    <xf numFmtId="0" fontId="0" fillId="0" borderId="43" xfId="0" applyBorder="1"/>
    <xf numFmtId="0" fontId="0" fillId="0" borderId="4" xfId="0" applyBorder="1"/>
    <xf numFmtId="0" fontId="57" fillId="0" borderId="0" xfId="0" applyFont="1" applyAlignment="1">
      <alignment horizontal="left" indent="1"/>
    </xf>
    <xf numFmtId="0" fontId="57" fillId="0" borderId="4" xfId="0" applyFont="1" applyBorder="1" applyAlignment="1">
      <alignment horizontal="left" indent="1"/>
    </xf>
    <xf numFmtId="173" fontId="67" fillId="12" borderId="0" xfId="7" applyNumberFormat="1" applyFont="1" applyFill="1" applyAlignment="1">
      <alignment horizontal="right" vertical="center"/>
    </xf>
    <xf numFmtId="173" fontId="57" fillId="8" borderId="0" xfId="7" applyNumberFormat="1" applyFont="1" applyFill="1" applyAlignment="1">
      <alignment horizontal="right" vertical="center"/>
    </xf>
    <xf numFmtId="0" fontId="60" fillId="8" borderId="0" xfId="7" applyFont="1" applyFill="1" applyAlignment="1">
      <alignment horizontal="right"/>
    </xf>
    <xf numFmtId="0" fontId="64" fillId="16" borderId="16" xfId="7" applyFont="1" applyFill="1" applyBorder="1" applyAlignment="1">
      <alignment horizontal="left" vertical="center"/>
    </xf>
    <xf numFmtId="0" fontId="35" fillId="16" borderId="0" xfId="2" applyFont="1" applyFill="1" applyAlignment="1">
      <alignment horizontal="left" vertical="center"/>
    </xf>
    <xf numFmtId="0" fontId="59" fillId="16" borderId="0" xfId="7" applyFont="1" applyFill="1" applyAlignment="1">
      <alignment vertical="center"/>
    </xf>
    <xf numFmtId="0" fontId="61" fillId="26" borderId="32" xfId="7" applyFont="1" applyFill="1" applyBorder="1" applyAlignment="1">
      <alignment vertical="center"/>
    </xf>
    <xf numFmtId="44" fontId="61" fillId="26" borderId="32" xfId="7" applyNumberFormat="1" applyFont="1" applyFill="1" applyBorder="1" applyAlignment="1">
      <alignment vertical="center"/>
    </xf>
    <xf numFmtId="0" fontId="61" fillId="26" borderId="33" xfId="7" applyFont="1" applyFill="1" applyBorder="1"/>
    <xf numFmtId="167" fontId="61" fillId="26" borderId="33" xfId="7" applyNumberFormat="1" applyFont="1" applyFill="1" applyBorder="1"/>
    <xf numFmtId="0" fontId="61" fillId="26" borderId="34" xfId="7" applyFont="1" applyFill="1" applyBorder="1"/>
    <xf numFmtId="167" fontId="61" fillId="26" borderId="34" xfId="7" applyNumberFormat="1" applyFont="1" applyFill="1" applyBorder="1"/>
    <xf numFmtId="0" fontId="10" fillId="8" borderId="0" xfId="7" applyFont="1" applyFill="1"/>
    <xf numFmtId="0" fontId="55" fillId="0" borderId="0" xfId="0" applyFont="1"/>
    <xf numFmtId="0" fontId="55" fillId="0" borderId="0" xfId="0" applyFont="1" applyAlignment="1">
      <alignment horizontal="right"/>
    </xf>
    <xf numFmtId="0" fontId="66" fillId="0" borderId="0" xfId="0" applyFont="1"/>
    <xf numFmtId="2" fontId="55" fillId="0" borderId="0" xfId="0" applyNumberFormat="1" applyFont="1" applyAlignment="1">
      <alignment horizontal="left"/>
    </xf>
    <xf numFmtId="169" fontId="23" fillId="16" borderId="0" xfId="2" applyNumberFormat="1" applyFont="1" applyFill="1"/>
    <xf numFmtId="43" fontId="23" fillId="16" borderId="2" xfId="2" applyNumberFormat="1" applyFont="1" applyFill="1" applyBorder="1"/>
    <xf numFmtId="164" fontId="55" fillId="0" borderId="0" xfId="0" applyNumberFormat="1" applyFont="1" applyAlignment="1">
      <alignment horizontal="left"/>
    </xf>
    <xf numFmtId="0" fontId="70" fillId="0" borderId="0" xfId="2" applyFont="1"/>
    <xf numFmtId="170" fontId="23" fillId="16" borderId="0" xfId="4" applyNumberFormat="1" applyFont="1" applyFill="1"/>
    <xf numFmtId="0" fontId="23" fillId="0" borderId="0" xfId="2" applyFont="1"/>
    <xf numFmtId="0" fontId="11" fillId="0" borderId="0" xfId="2"/>
    <xf numFmtId="43" fontId="11" fillId="0" borderId="0" xfId="2" applyNumberFormat="1"/>
    <xf numFmtId="0" fontId="27" fillId="0" borderId="0" xfId="2" applyFont="1"/>
    <xf numFmtId="0" fontId="20" fillId="0" borderId="0" xfId="3" applyFill="1"/>
    <xf numFmtId="0" fontId="20" fillId="0" borderId="0" xfId="3" applyFill="1" applyAlignment="1">
      <alignment horizontal="left"/>
    </xf>
    <xf numFmtId="0" fontId="20" fillId="0" borderId="0" xfId="3" applyFill="1" applyAlignment="1">
      <alignment horizontal="left" vertical="center"/>
    </xf>
    <xf numFmtId="171" fontId="11" fillId="0" borderId="0" xfId="8" applyNumberFormat="1" applyFont="1" applyFill="1"/>
    <xf numFmtId="171" fontId="11" fillId="0" borderId="0" xfId="2" applyNumberFormat="1"/>
    <xf numFmtId="0" fontId="11" fillId="0" borderId="44" xfId="2" applyBorder="1" applyAlignment="1">
      <alignment horizontal="centerContinuous" vertical="center"/>
    </xf>
    <xf numFmtId="0" fontId="11" fillId="0" borderId="45" xfId="2" applyBorder="1" applyAlignment="1">
      <alignment horizontal="centerContinuous" vertical="center"/>
    </xf>
    <xf numFmtId="0" fontId="11" fillId="0" borderId="46" xfId="2" applyBorder="1" applyAlignment="1">
      <alignment horizontal="centerContinuous" vertical="center"/>
    </xf>
    <xf numFmtId="0" fontId="83" fillId="0" borderId="0" xfId="2" applyFont="1" applyAlignment="1">
      <alignment horizontal="left" vertical="center" indent="1"/>
    </xf>
    <xf numFmtId="0" fontId="39" fillId="0" borderId="0" xfId="2" applyFont="1" applyAlignment="1">
      <alignment horizontal="right"/>
    </xf>
    <xf numFmtId="173" fontId="29" fillId="16" borderId="0" xfId="8" applyNumberFormat="1" applyFont="1" applyFill="1"/>
    <xf numFmtId="165" fontId="23" fillId="16" borderId="0" xfId="4" applyNumberFormat="1" applyFont="1" applyFill="1"/>
    <xf numFmtId="169" fontId="23" fillId="18" borderId="0" xfId="4" applyNumberFormat="1" applyFont="1" applyFill="1" applyBorder="1" applyAlignment="1">
      <alignment horizontal="right" vertical="center"/>
    </xf>
    <xf numFmtId="169" fontId="11" fillId="0" borderId="0" xfId="1" applyNumberFormat="1" applyFont="1" applyFill="1" applyAlignment="1">
      <alignment horizontal="center" vertical="center"/>
    </xf>
    <xf numFmtId="169" fontId="39" fillId="0" borderId="0" xfId="1" applyNumberFormat="1" applyFont="1" applyFill="1" applyAlignment="1">
      <alignment horizontal="center" vertical="center"/>
    </xf>
    <xf numFmtId="2" fontId="11" fillId="0" borderId="47" xfId="9" applyNumberFormat="1" applyFont="1" applyFill="1" applyBorder="1" applyAlignment="1">
      <alignment horizontal="center" vertical="center"/>
    </xf>
    <xf numFmtId="2" fontId="11" fillId="0" borderId="10" xfId="9" applyNumberFormat="1" applyFont="1" applyFill="1" applyBorder="1" applyAlignment="1">
      <alignment horizontal="center" vertical="center"/>
    </xf>
    <xf numFmtId="2" fontId="11" fillId="28" borderId="10" xfId="9" applyNumberFormat="1" applyFont="1" applyFill="1" applyBorder="1" applyAlignment="1">
      <alignment horizontal="center" vertical="center"/>
    </xf>
    <xf numFmtId="2" fontId="11" fillId="0" borderId="48" xfId="9" applyNumberFormat="1" applyFont="1" applyFill="1" applyBorder="1" applyAlignment="1">
      <alignment horizontal="center" vertical="center"/>
    </xf>
    <xf numFmtId="2" fontId="11" fillId="0" borderId="5" xfId="9" applyNumberFormat="1" applyFont="1" applyFill="1" applyBorder="1" applyAlignment="1">
      <alignment horizontal="center" vertical="center"/>
    </xf>
    <xf numFmtId="2" fontId="11" fillId="0" borderId="0" xfId="9" applyNumberFormat="1" applyFont="1" applyFill="1" applyBorder="1" applyAlignment="1">
      <alignment horizontal="center" vertical="center"/>
    </xf>
    <xf numFmtId="2" fontId="11" fillId="28" borderId="0" xfId="9" applyNumberFormat="1" applyFont="1" applyFill="1" applyBorder="1" applyAlignment="1">
      <alignment horizontal="center" vertical="center"/>
    </xf>
    <xf numFmtId="2" fontId="11" fillId="0" borderId="6" xfId="9" applyNumberFormat="1" applyFont="1" applyFill="1" applyBorder="1" applyAlignment="1">
      <alignment horizontal="center" vertical="center"/>
    </xf>
    <xf numFmtId="2" fontId="11" fillId="0" borderId="51" xfId="9" applyNumberFormat="1" applyFont="1" applyFill="1" applyBorder="1" applyAlignment="1">
      <alignment horizontal="center" vertical="center"/>
    </xf>
    <xf numFmtId="2" fontId="11" fillId="28" borderId="21" xfId="9" applyNumberFormat="1" applyFont="1" applyFill="1" applyBorder="1" applyAlignment="1">
      <alignment horizontal="center" vertical="center"/>
    </xf>
    <xf numFmtId="2" fontId="11" fillId="0" borderId="52" xfId="9" applyNumberFormat="1" applyFont="1" applyFill="1" applyBorder="1" applyAlignment="1">
      <alignment horizontal="center" vertical="center"/>
    </xf>
    <xf numFmtId="2" fontId="11" fillId="28" borderId="5" xfId="9" applyNumberFormat="1" applyFont="1" applyFill="1" applyBorder="1" applyAlignment="1">
      <alignment horizontal="center" vertical="center"/>
    </xf>
    <xf numFmtId="2" fontId="11" fillId="28" borderId="53" xfId="9" applyNumberFormat="1" applyFont="1" applyFill="1" applyBorder="1" applyAlignment="1">
      <alignment horizontal="center" vertical="center"/>
    </xf>
    <xf numFmtId="2" fontId="11" fillId="28" borderId="54" xfId="9" applyNumberFormat="1" applyFont="1" applyFill="1" applyBorder="1" applyAlignment="1">
      <alignment horizontal="center" vertical="center"/>
    </xf>
    <xf numFmtId="2" fontId="11" fillId="28" borderId="6" xfId="9" applyNumberFormat="1" applyFont="1" applyFill="1" applyBorder="1" applyAlignment="1">
      <alignment horizontal="center" vertical="center"/>
    </xf>
    <xf numFmtId="2" fontId="11" fillId="0" borderId="55" xfId="9" applyNumberFormat="1" applyFont="1" applyFill="1" applyBorder="1" applyAlignment="1">
      <alignment horizontal="center" vertical="center"/>
    </xf>
    <xf numFmtId="2" fontId="11" fillId="28" borderId="57" xfId="9" applyNumberFormat="1" applyFont="1" applyFill="1" applyBorder="1" applyAlignment="1">
      <alignment horizontal="center" vertical="center"/>
    </xf>
    <xf numFmtId="2" fontId="11" fillId="0" borderId="56" xfId="9" applyNumberFormat="1" applyFont="1" applyFill="1" applyBorder="1" applyAlignment="1">
      <alignment horizontal="center" vertical="center"/>
    </xf>
    <xf numFmtId="2" fontId="11" fillId="0" borderId="49" xfId="9" applyNumberFormat="1" applyFont="1" applyFill="1" applyBorder="1" applyAlignment="1">
      <alignment horizontal="center" vertical="center"/>
    </xf>
    <xf numFmtId="2" fontId="11" fillId="0" borderId="11" xfId="9" applyNumberFormat="1" applyFont="1" applyFill="1" applyBorder="1" applyAlignment="1">
      <alignment horizontal="center" vertical="center"/>
    </xf>
    <xf numFmtId="2" fontId="11" fillId="28" borderId="11" xfId="9" applyNumberFormat="1" applyFont="1" applyFill="1" applyBorder="1" applyAlignment="1">
      <alignment horizontal="center" vertical="center"/>
    </xf>
    <xf numFmtId="2" fontId="11" fillId="0" borderId="50" xfId="9" applyNumberFormat="1" applyFont="1" applyFill="1" applyBorder="1" applyAlignment="1">
      <alignment horizontal="center" vertical="center"/>
    </xf>
    <xf numFmtId="9" fontId="11" fillId="0" borderId="0" xfId="1" applyFont="1" applyFill="1" applyAlignment="1">
      <alignment vertical="center"/>
    </xf>
    <xf numFmtId="9" fontId="39" fillId="0" borderId="0" xfId="1" applyFont="1" applyFill="1" applyAlignment="1">
      <alignment vertical="center"/>
    </xf>
    <xf numFmtId="2" fontId="30" fillId="0" borderId="0" xfId="2" applyNumberFormat="1" applyFont="1" applyAlignment="1">
      <alignment vertical="center"/>
    </xf>
    <xf numFmtId="0" fontId="83" fillId="0" borderId="0" xfId="2" applyFont="1" applyAlignment="1">
      <alignment horizontal="right" vertical="center"/>
    </xf>
    <xf numFmtId="10" fontId="40" fillId="7" borderId="58" xfId="2" applyNumberFormat="1" applyFont="1" applyFill="1" applyBorder="1"/>
    <xf numFmtId="44" fontId="63" fillId="20" borderId="0" xfId="9" applyFont="1" applyFill="1"/>
    <xf numFmtId="0" fontId="29" fillId="20" borderId="0" xfId="2" applyFont="1" applyFill="1" applyAlignment="1">
      <alignment horizontal="right" vertical="center" indent="1"/>
    </xf>
    <xf numFmtId="44" fontId="29" fillId="20" borderId="0" xfId="9" applyFont="1" applyFill="1" applyAlignment="1">
      <alignment vertical="center"/>
    </xf>
    <xf numFmtId="2" fontId="39" fillId="29" borderId="59" xfId="9" applyNumberFormat="1" applyFont="1" applyFill="1" applyBorder="1" applyAlignment="1">
      <alignment horizontal="center" vertical="center"/>
    </xf>
    <xf numFmtId="0" fontId="66" fillId="6" borderId="27" xfId="0" applyFont="1" applyFill="1" applyBorder="1" applyAlignment="1">
      <alignment horizontal="left"/>
    </xf>
    <xf numFmtId="0" fontId="55" fillId="6" borderId="27" xfId="0" applyFont="1" applyFill="1" applyBorder="1" applyAlignment="1">
      <alignment horizontal="left"/>
    </xf>
    <xf numFmtId="7" fontId="66" fillId="18" borderId="27" xfId="0" applyNumberFormat="1" applyFont="1" applyFill="1" applyBorder="1" applyAlignment="1">
      <alignment horizontal="right"/>
    </xf>
    <xf numFmtId="0" fontId="84" fillId="7" borderId="27" xfId="0" applyFont="1" applyFill="1" applyBorder="1" applyAlignment="1">
      <alignment horizontal="right"/>
    </xf>
    <xf numFmtId="0" fontId="84" fillId="7" borderId="27" xfId="0" quotePrefix="1" applyFont="1" applyFill="1" applyBorder="1" applyAlignment="1">
      <alignment horizontal="right"/>
    </xf>
    <xf numFmtId="164" fontId="84" fillId="7" borderId="27" xfId="0" applyNumberFormat="1" applyFont="1" applyFill="1" applyBorder="1" applyAlignment="1">
      <alignment horizontal="right"/>
    </xf>
    <xf numFmtId="0" fontId="65" fillId="27" borderId="0" xfId="0" applyFont="1" applyFill="1" applyAlignment="1">
      <alignment vertical="center"/>
    </xf>
    <xf numFmtId="0" fontId="54" fillId="27" borderId="0" xfId="0" applyFont="1" applyFill="1" applyAlignment="1">
      <alignment vertical="center"/>
    </xf>
    <xf numFmtId="0" fontId="70" fillId="0" borderId="33" xfId="2" applyFont="1" applyBorder="1" applyAlignment="1">
      <alignment vertical="center"/>
    </xf>
    <xf numFmtId="170" fontId="84" fillId="7" borderId="33" xfId="4" applyNumberFormat="1" applyFont="1" applyFill="1" applyBorder="1" applyAlignment="1">
      <alignment vertical="center"/>
    </xf>
    <xf numFmtId="0" fontId="55" fillId="0" borderId="33" xfId="0" applyFont="1" applyBorder="1" applyAlignment="1">
      <alignment vertical="center"/>
    </xf>
    <xf numFmtId="0" fontId="87" fillId="0" borderId="33" xfId="3" applyFont="1" applyFill="1" applyBorder="1" applyAlignment="1">
      <alignment vertical="center"/>
    </xf>
    <xf numFmtId="0" fontId="55" fillId="0" borderId="33" xfId="2" applyFont="1" applyBorder="1" applyAlignment="1">
      <alignment vertical="center"/>
    </xf>
    <xf numFmtId="0" fontId="86" fillId="0" borderId="33" xfId="3" applyFont="1" applyFill="1" applyBorder="1" applyAlignment="1">
      <alignment vertical="center"/>
    </xf>
    <xf numFmtId="0" fontId="86" fillId="0" borderId="33" xfId="3" applyFont="1" applyFill="1" applyBorder="1" applyAlignment="1">
      <alignment horizontal="left" vertical="center"/>
    </xf>
    <xf numFmtId="43" fontId="84" fillId="0" borderId="33" xfId="2" applyNumberFormat="1" applyFont="1" applyBorder="1" applyAlignment="1">
      <alignment vertical="center"/>
    </xf>
    <xf numFmtId="0" fontId="65" fillId="27" borderId="60" xfId="2" applyFont="1" applyFill="1" applyBorder="1" applyAlignment="1">
      <alignment horizontal="left" vertical="center"/>
    </xf>
    <xf numFmtId="0" fontId="54" fillId="27" borderId="60" xfId="0" applyFont="1" applyFill="1" applyBorder="1" applyAlignment="1">
      <alignment horizontal="centerContinuous"/>
    </xf>
    <xf numFmtId="0" fontId="70" fillId="0" borderId="33" xfId="2" applyFont="1" applyBorder="1" applyAlignment="1">
      <alignment horizontal="left" vertical="center"/>
    </xf>
    <xf numFmtId="43" fontId="84" fillId="7" borderId="33" xfId="2" applyNumberFormat="1" applyFont="1" applyFill="1" applyBorder="1" applyAlignment="1">
      <alignment vertical="center"/>
    </xf>
    <xf numFmtId="169" fontId="84" fillId="7" borderId="33" xfId="2" applyNumberFormat="1" applyFont="1" applyFill="1" applyBorder="1" applyAlignment="1">
      <alignment vertical="center"/>
    </xf>
    <xf numFmtId="0" fontId="71" fillId="8" borderId="61" xfId="2" applyFont="1" applyFill="1" applyBorder="1" applyAlignment="1">
      <alignment horizontal="left" vertical="center"/>
    </xf>
    <xf numFmtId="169" fontId="66" fillId="8" borderId="61" xfId="2" applyNumberFormat="1" applyFont="1" applyFill="1" applyBorder="1" applyAlignment="1">
      <alignment vertical="center"/>
    </xf>
    <xf numFmtId="0" fontId="55" fillId="8" borderId="61" xfId="0" applyFont="1" applyFill="1" applyBorder="1" applyAlignment="1">
      <alignment vertical="center"/>
    </xf>
    <xf numFmtId="0" fontId="65" fillId="27" borderId="62" xfId="2" applyFont="1" applyFill="1" applyBorder="1" applyAlignment="1">
      <alignment horizontal="left" vertical="center"/>
    </xf>
    <xf numFmtId="0" fontId="54" fillId="27" borderId="62" xfId="0" applyFont="1" applyFill="1" applyBorder="1" applyAlignment="1">
      <alignment horizontal="centerContinuous"/>
    </xf>
    <xf numFmtId="0" fontId="54" fillId="27" borderId="62" xfId="0" applyFont="1" applyFill="1" applyBorder="1"/>
    <xf numFmtId="0" fontId="55" fillId="0" borderId="27" xfId="0" applyFont="1" applyBorder="1"/>
    <xf numFmtId="183" fontId="55" fillId="0" borderId="27" xfId="0" applyNumberFormat="1" applyFont="1" applyBorder="1"/>
    <xf numFmtId="0" fontId="85" fillId="0" borderId="27" xfId="0" applyFont="1" applyBorder="1"/>
    <xf numFmtId="0" fontId="66" fillId="8" borderId="61" xfId="2" applyFont="1" applyFill="1" applyBorder="1" applyAlignment="1">
      <alignment vertical="center"/>
    </xf>
    <xf numFmtId="0" fontId="66" fillId="8" borderId="61" xfId="0" applyFont="1" applyFill="1" applyBorder="1" applyAlignment="1">
      <alignment vertical="center"/>
    </xf>
    <xf numFmtId="0" fontId="71" fillId="0" borderId="33" xfId="2" applyFont="1" applyBorder="1" applyAlignment="1">
      <alignment horizontal="left"/>
    </xf>
    <xf numFmtId="173" fontId="82" fillId="7" borderId="33" xfId="8" applyNumberFormat="1" applyFont="1" applyFill="1" applyBorder="1"/>
    <xf numFmtId="0" fontId="55" fillId="0" borderId="33" xfId="0" applyFont="1" applyBorder="1"/>
    <xf numFmtId="0" fontId="71" fillId="0" borderId="33" xfId="2" applyFont="1" applyBorder="1" applyAlignment="1">
      <alignment horizontal="left" vertical="top"/>
    </xf>
    <xf numFmtId="4" fontId="55" fillId="0" borderId="33" xfId="0" applyNumberFormat="1" applyFont="1" applyBorder="1" applyAlignment="1">
      <alignment horizontal="left"/>
    </xf>
    <xf numFmtId="0" fontId="70" fillId="0" borderId="33" xfId="2" applyFont="1" applyBorder="1" applyAlignment="1">
      <alignment horizontal="left" indent="1"/>
    </xf>
    <xf numFmtId="179" fontId="70" fillId="0" borderId="33" xfId="4" applyNumberFormat="1" applyFont="1" applyFill="1" applyBorder="1"/>
    <xf numFmtId="169" fontId="71" fillId="0" borderId="33" xfId="4" applyNumberFormat="1" applyFont="1" applyFill="1" applyBorder="1"/>
    <xf numFmtId="165" fontId="84" fillId="7" borderId="33" xfId="4" applyNumberFormat="1" applyFont="1" applyFill="1" applyBorder="1"/>
    <xf numFmtId="6" fontId="71" fillId="16" borderId="33" xfId="4" applyNumberFormat="1" applyFont="1" applyFill="1" applyBorder="1"/>
    <xf numFmtId="9" fontId="71" fillId="0" borderId="33" xfId="4" applyFont="1" applyFill="1" applyBorder="1"/>
    <xf numFmtId="0" fontId="66" fillId="11" borderId="61" xfId="2" applyFont="1" applyFill="1" applyBorder="1"/>
    <xf numFmtId="169" fontId="66" fillId="11" borderId="61" xfId="2" applyNumberFormat="1" applyFont="1" applyFill="1" applyBorder="1"/>
    <xf numFmtId="0" fontId="55" fillId="0" borderId="61" xfId="0" applyFont="1" applyBorder="1"/>
    <xf numFmtId="0" fontId="65" fillId="27" borderId="62" xfId="0" applyFont="1" applyFill="1" applyBorder="1" applyAlignment="1">
      <alignment horizontal="left"/>
    </xf>
    <xf numFmtId="0" fontId="65" fillId="27" borderId="62" xfId="0" applyFont="1" applyFill="1" applyBorder="1" applyAlignment="1">
      <alignment horizontal="center"/>
    </xf>
    <xf numFmtId="0" fontId="66" fillId="0" borderId="33" xfId="0" applyFont="1" applyBorder="1"/>
    <xf numFmtId="10" fontId="84" fillId="7" borderId="33" xfId="1" applyNumberFormat="1" applyFont="1" applyFill="1" applyBorder="1" applyAlignment="1">
      <alignment horizontal="center"/>
    </xf>
    <xf numFmtId="10" fontId="55" fillId="0" borderId="33" xfId="1" applyNumberFormat="1" applyFont="1" applyBorder="1" applyAlignment="1">
      <alignment horizontal="center"/>
    </xf>
    <xf numFmtId="0" fontId="89" fillId="0" borderId="33" xfId="0" applyFont="1" applyBorder="1" applyAlignment="1">
      <alignment horizontal="left" indent="1"/>
    </xf>
    <xf numFmtId="10" fontId="9" fillId="0" borderId="33" xfId="1" applyNumberFormat="1" applyFont="1" applyBorder="1" applyAlignment="1">
      <alignment horizontal="center"/>
    </xf>
    <xf numFmtId="10" fontId="37" fillId="7" borderId="33" xfId="1" applyNumberFormat="1" applyFont="1" applyFill="1" applyBorder="1" applyAlignment="1" applyProtection="1">
      <alignment horizontal="center" vertical="center"/>
      <protection locked="0"/>
    </xf>
    <xf numFmtId="10" fontId="9" fillId="0" borderId="61" xfId="1" applyNumberFormat="1" applyFont="1" applyBorder="1" applyAlignment="1">
      <alignment horizontal="center"/>
    </xf>
    <xf numFmtId="10" fontId="37" fillId="7" borderId="61" xfId="1" applyNumberFormat="1" applyFont="1" applyFill="1" applyBorder="1" applyAlignment="1">
      <alignment horizontal="center"/>
    </xf>
    <xf numFmtId="0" fontId="9" fillId="0" borderId="61" xfId="0" applyFont="1" applyBorder="1" applyAlignment="1">
      <alignment horizontal="left" indent="1"/>
    </xf>
    <xf numFmtId="0" fontId="55" fillId="7" borderId="27" xfId="0" applyFont="1" applyFill="1" applyBorder="1" applyAlignment="1">
      <alignment horizontal="right" vertical="center"/>
    </xf>
    <xf numFmtId="0" fontId="84" fillId="7" borderId="27" xfId="0" applyFont="1" applyFill="1" applyBorder="1" applyAlignment="1">
      <alignment horizontal="right" vertical="center"/>
    </xf>
    <xf numFmtId="0" fontId="66" fillId="0" borderId="27" xfId="0" applyFont="1" applyBorder="1" applyAlignment="1">
      <alignment horizontal="left" vertical="center"/>
    </xf>
    <xf numFmtId="171" fontId="85" fillId="8" borderId="27" xfId="8" applyNumberFormat="1" applyFont="1" applyFill="1" applyBorder="1" applyAlignment="1">
      <alignment horizontal="center" vertical="center"/>
    </xf>
    <xf numFmtId="14" fontId="11" fillId="0" borderId="0" xfId="2" applyNumberFormat="1"/>
    <xf numFmtId="0" fontId="4" fillId="22" borderId="0" xfId="0" applyFont="1" applyFill="1"/>
    <xf numFmtId="166" fontId="3" fillId="22" borderId="1" xfId="0" applyNumberFormat="1" applyFont="1" applyFill="1" applyBorder="1"/>
    <xf numFmtId="166" fontId="4" fillId="22" borderId="0" xfId="0" applyNumberFormat="1" applyFont="1" applyFill="1"/>
    <xf numFmtId="165" fontId="4" fillId="22" borderId="0" xfId="0" applyNumberFormat="1" applyFont="1" applyFill="1"/>
    <xf numFmtId="166" fontId="4" fillId="22" borderId="12" xfId="0" applyNumberFormat="1" applyFont="1" applyFill="1" applyBorder="1"/>
    <xf numFmtId="166" fontId="9" fillId="22" borderId="0" xfId="0" applyNumberFormat="1" applyFont="1" applyFill="1"/>
    <xf numFmtId="43" fontId="51" fillId="16" borderId="0" xfId="6" applyFont="1" applyFill="1" applyAlignment="1">
      <alignment vertical="center"/>
    </xf>
    <xf numFmtId="173" fontId="51" fillId="16" borderId="0" xfId="6" applyNumberFormat="1" applyFont="1" applyFill="1" applyAlignment="1">
      <alignment vertical="center"/>
    </xf>
    <xf numFmtId="0" fontId="90" fillId="0" borderId="0" xfId="0" applyFont="1" applyAlignment="1">
      <alignment horizontal="centerContinuous" vertical="center"/>
    </xf>
    <xf numFmtId="0" fontId="4" fillId="0" borderId="0" xfId="0" applyFont="1" applyAlignment="1">
      <alignment horizontal="centerContinuous"/>
    </xf>
    <xf numFmtId="0" fontId="91" fillId="0" borderId="0" xfId="0" applyFont="1"/>
    <xf numFmtId="0" fontId="0" fillId="7" borderId="0" xfId="0" applyFill="1"/>
    <xf numFmtId="0" fontId="41" fillId="14" borderId="0" xfId="0" applyFont="1" applyFill="1" applyAlignment="1">
      <alignment vertical="center"/>
    </xf>
    <xf numFmtId="0" fontId="58" fillId="14" borderId="0" xfId="0" applyFont="1" applyFill="1" applyAlignment="1">
      <alignment vertical="center"/>
    </xf>
    <xf numFmtId="0" fontId="43" fillId="14" borderId="0" xfId="0" applyFont="1" applyFill="1"/>
    <xf numFmtId="1" fontId="95" fillId="20" borderId="0" xfId="0" applyNumberFormat="1" applyFont="1" applyFill="1" applyAlignment="1">
      <alignment horizontal="right"/>
    </xf>
    <xf numFmtId="0" fontId="94" fillId="0" borderId="10" xfId="0" applyFont="1" applyBorder="1" applyAlignment="1">
      <alignment vertical="center"/>
    </xf>
    <xf numFmtId="0" fontId="0" fillId="0" borderId="10" xfId="0" applyBorder="1"/>
    <xf numFmtId="0" fontId="95" fillId="0" borderId="0" xfId="0" applyFont="1" applyAlignment="1">
      <alignment vertical="center"/>
    </xf>
    <xf numFmtId="0" fontId="94" fillId="0" borderId="11" xfId="0" applyFont="1" applyBorder="1" applyAlignment="1">
      <alignment vertical="center"/>
    </xf>
    <xf numFmtId="0" fontId="0" fillId="0" borderId="11" xfId="0" applyBorder="1"/>
    <xf numFmtId="165" fontId="10" fillId="0" borderId="1" xfId="0" applyNumberFormat="1" applyFont="1" applyBorder="1" applyAlignment="1" applyProtection="1">
      <alignment horizontal="right" vertical="center"/>
      <protection locked="0"/>
    </xf>
    <xf numFmtId="165" fontId="4" fillId="9" borderId="0" xfId="0" applyNumberFormat="1" applyFont="1" applyFill="1"/>
    <xf numFmtId="0" fontId="92" fillId="0" borderId="0" xfId="0" applyFont="1" applyAlignment="1">
      <alignment horizontal="left" vertical="center" indent="1"/>
    </xf>
    <xf numFmtId="0" fontId="93" fillId="0" borderId="0" xfId="0" applyFont="1" applyAlignment="1">
      <alignment horizontal="left" vertical="center" indent="1"/>
    </xf>
    <xf numFmtId="0" fontId="0" fillId="0" borderId="0" xfId="0" applyAlignment="1">
      <alignment horizontal="left" vertical="center" indent="1"/>
    </xf>
    <xf numFmtId="0" fontId="69" fillId="0" borderId="0" xfId="0" applyFont="1" applyAlignment="1">
      <alignment horizontal="left" vertical="center" indent="1"/>
    </xf>
    <xf numFmtId="0" fontId="0" fillId="7" borderId="0" xfId="0" applyFill="1" applyAlignment="1">
      <alignment horizontal="left" vertical="center" indent="1"/>
    </xf>
    <xf numFmtId="0" fontId="42" fillId="0" borderId="0" xfId="0" applyFont="1" applyAlignment="1">
      <alignment vertical="center"/>
    </xf>
    <xf numFmtId="0" fontId="96" fillId="4" borderId="0" xfId="0" applyFont="1" applyFill="1"/>
    <xf numFmtId="0" fontId="16" fillId="4" borderId="0" xfId="0" applyFont="1" applyFill="1" applyAlignment="1">
      <alignment horizontal="center" vertical="center" wrapText="1"/>
    </xf>
    <xf numFmtId="180" fontId="7" fillId="20" borderId="1" xfId="0" applyNumberFormat="1" applyFont="1" applyFill="1" applyBorder="1" applyAlignment="1" applyProtection="1">
      <alignment horizontal="right" vertical="center"/>
      <protection locked="0"/>
    </xf>
    <xf numFmtId="180" fontId="10" fillId="0" borderId="1" xfId="0" applyNumberFormat="1" applyFont="1" applyBorder="1" applyAlignment="1" applyProtection="1">
      <alignment horizontal="right" vertical="center"/>
      <protection locked="0"/>
    </xf>
    <xf numFmtId="0" fontId="16" fillId="30" borderId="1" xfId="0" applyFont="1" applyFill="1" applyBorder="1" applyAlignment="1">
      <alignment horizontal="left" vertical="center" indent="1"/>
    </xf>
    <xf numFmtId="165" fontId="16" fillId="30" borderId="1" xfId="0" applyNumberFormat="1" applyFont="1" applyFill="1" applyBorder="1" applyAlignment="1" applyProtection="1">
      <alignment horizontal="right" vertical="center"/>
      <protection locked="0"/>
    </xf>
    <xf numFmtId="180" fontId="16" fillId="30" borderId="1" xfId="0" applyNumberFormat="1" applyFont="1" applyFill="1" applyBorder="1" applyAlignment="1" applyProtection="1">
      <alignment horizontal="right" vertical="center"/>
      <protection locked="0"/>
    </xf>
    <xf numFmtId="165" fontId="7" fillId="20" borderId="1" xfId="0" applyNumberFormat="1" applyFont="1" applyFill="1" applyBorder="1" applyAlignment="1">
      <alignment horizontal="right" vertical="center"/>
    </xf>
    <xf numFmtId="180" fontId="7" fillId="20" borderId="1" xfId="0" applyNumberFormat="1" applyFont="1" applyFill="1" applyBorder="1" applyAlignment="1">
      <alignment horizontal="right" vertical="center"/>
    </xf>
    <xf numFmtId="169" fontId="13" fillId="0" borderId="1" xfId="0" applyNumberFormat="1" applyFont="1" applyBorder="1" applyAlignment="1">
      <alignment vertical="center"/>
    </xf>
    <xf numFmtId="165" fontId="10" fillId="0" borderId="1" xfId="0" applyNumberFormat="1" applyFont="1" applyBorder="1" applyAlignment="1">
      <alignment horizontal="right" vertical="center"/>
    </xf>
    <xf numFmtId="180" fontId="10" fillId="0" borderId="1" xfId="0" applyNumberFormat="1" applyFont="1" applyBorder="1" applyAlignment="1">
      <alignment horizontal="right" vertical="center"/>
    </xf>
    <xf numFmtId="169" fontId="10" fillId="0" borderId="1" xfId="0" applyNumberFormat="1" applyFont="1" applyBorder="1" applyAlignment="1">
      <alignment vertical="center"/>
    </xf>
    <xf numFmtId="0" fontId="16" fillId="4" borderId="0" xfId="0" applyFont="1" applyFill="1" applyAlignment="1">
      <alignment vertical="center" wrapText="1"/>
    </xf>
    <xf numFmtId="168" fontId="3" fillId="3" borderId="0" xfId="0" applyNumberFormat="1" applyFont="1" applyFill="1" applyAlignment="1">
      <alignment horizontal="center" vertical="center"/>
    </xf>
    <xf numFmtId="168" fontId="17" fillId="13" borderId="0" xfId="0" applyNumberFormat="1" applyFont="1" applyFill="1" applyAlignment="1">
      <alignment horizontal="center" vertical="center"/>
    </xf>
    <xf numFmtId="168" fontId="3" fillId="2" borderId="0" xfId="0" applyNumberFormat="1" applyFont="1" applyFill="1" applyAlignment="1">
      <alignment horizontal="center" vertical="center"/>
    </xf>
    <xf numFmtId="168" fontId="16" fillId="14" borderId="0" xfId="0" applyNumberFormat="1" applyFont="1" applyFill="1" applyAlignment="1">
      <alignment horizontal="center" vertical="center"/>
    </xf>
    <xf numFmtId="168" fontId="29" fillId="8" borderId="4" xfId="2" applyNumberFormat="1" applyFont="1" applyFill="1" applyBorder="1" applyAlignment="1">
      <alignment horizontal="right" vertical="center"/>
    </xf>
    <xf numFmtId="184" fontId="71" fillId="16" borderId="36" xfId="10" applyNumberFormat="1" applyFont="1" applyFill="1" applyBorder="1" applyAlignment="1">
      <alignment horizontal="center" vertical="center"/>
    </xf>
    <xf numFmtId="184" fontId="71" fillId="16" borderId="37" xfId="10" applyNumberFormat="1" applyFont="1" applyFill="1" applyBorder="1" applyAlignment="1">
      <alignment horizontal="center" vertical="center"/>
    </xf>
    <xf numFmtId="184" fontId="71" fillId="16" borderId="38" xfId="10" applyNumberFormat="1" applyFont="1" applyFill="1" applyBorder="1" applyAlignment="1">
      <alignment horizontal="center" vertical="center"/>
    </xf>
    <xf numFmtId="184" fontId="71" fillId="16" borderId="0" xfId="10" applyNumberFormat="1" applyFont="1" applyFill="1" applyAlignment="1">
      <alignment horizontal="center"/>
    </xf>
    <xf numFmtId="184" fontId="29" fillId="8" borderId="4" xfId="2" applyNumberFormat="1" applyFont="1" applyFill="1" applyBorder="1" applyAlignment="1">
      <alignment horizontal="center" vertical="center"/>
    </xf>
    <xf numFmtId="184" fontId="41" fillId="22" borderId="0" xfId="7" applyNumberFormat="1" applyFont="1" applyFill="1" applyAlignment="1">
      <alignment horizontal="center" vertical="center"/>
    </xf>
    <xf numFmtId="185" fontId="0" fillId="16" borderId="36" xfId="0" applyNumberFormat="1" applyFill="1" applyBorder="1"/>
    <xf numFmtId="185" fontId="0" fillId="16" borderId="37" xfId="0" applyNumberFormat="1" applyFill="1" applyBorder="1"/>
    <xf numFmtId="185" fontId="0" fillId="16" borderId="38" xfId="0" applyNumberFormat="1" applyFill="1" applyBorder="1"/>
    <xf numFmtId="185" fontId="76" fillId="0" borderId="31" xfId="9" applyNumberFormat="1" applyFont="1" applyFill="1" applyBorder="1" applyAlignment="1">
      <alignment horizontal="center"/>
    </xf>
    <xf numFmtId="185" fontId="70" fillId="0" borderId="31" xfId="10" applyNumberFormat="1" applyFont="1" applyBorder="1" applyAlignment="1">
      <alignment horizontal="center" vertical="center"/>
    </xf>
    <xf numFmtId="0" fontId="71" fillId="0" borderId="0" xfId="10" quotePrefix="1" applyFont="1" applyAlignment="1">
      <alignment horizontal="left"/>
    </xf>
    <xf numFmtId="44" fontId="4" fillId="9" borderId="0" xfId="9" applyFont="1" applyFill="1"/>
    <xf numFmtId="0" fontId="9" fillId="16" borderId="0" xfId="0" applyFont="1" applyFill="1" applyAlignment="1">
      <alignment horizontal="left" indent="2"/>
    </xf>
    <xf numFmtId="0" fontId="4" fillId="16" borderId="0" xfId="0" applyFont="1" applyFill="1"/>
    <xf numFmtId="167" fontId="9" fillId="16" borderId="0" xfId="1" applyNumberFormat="1" applyFont="1" applyFill="1" applyAlignment="1">
      <alignment horizontal="right"/>
    </xf>
    <xf numFmtId="167" fontId="37" fillId="16" borderId="0" xfId="1" applyNumberFormat="1" applyFont="1" applyFill="1" applyAlignment="1">
      <alignment horizontal="right"/>
    </xf>
    <xf numFmtId="186" fontId="13" fillId="16" borderId="0" xfId="9" applyNumberFormat="1" applyFont="1" applyFill="1" applyAlignment="1" applyProtection="1">
      <alignment horizontal="right" vertical="center"/>
      <protection locked="0"/>
    </xf>
    <xf numFmtId="186" fontId="7" fillId="0" borderId="0" xfId="9" applyNumberFormat="1" applyFont="1" applyAlignment="1">
      <alignment horizontal="right" vertical="center"/>
    </xf>
    <xf numFmtId="186" fontId="3" fillId="0" borderId="1" xfId="0" applyNumberFormat="1" applyFont="1" applyBorder="1"/>
    <xf numFmtId="186" fontId="13" fillId="7" borderId="0" xfId="0" applyNumberFormat="1" applyFont="1" applyFill="1" applyAlignment="1" applyProtection="1">
      <alignment horizontal="right" vertical="center"/>
      <protection locked="0"/>
    </xf>
    <xf numFmtId="186" fontId="98" fillId="16" borderId="0" xfId="0" applyNumberFormat="1" applyFont="1" applyFill="1" applyAlignment="1" applyProtection="1">
      <alignment horizontal="right" vertical="center"/>
      <protection locked="0"/>
    </xf>
    <xf numFmtId="0" fontId="3" fillId="20" borderId="63" xfId="0" applyFont="1" applyFill="1" applyBorder="1" applyAlignment="1">
      <alignment horizontal="right" vertical="center" indent="1"/>
    </xf>
    <xf numFmtId="169" fontId="3" fillId="0" borderId="64" xfId="1" applyNumberFormat="1" applyFont="1" applyBorder="1"/>
    <xf numFmtId="10" fontId="3" fillId="0" borderId="64" xfId="1" applyNumberFormat="1" applyFont="1" applyBorder="1"/>
    <xf numFmtId="186" fontId="13" fillId="0" borderId="0" xfId="0" applyNumberFormat="1" applyFont="1" applyAlignment="1" applyProtection="1">
      <alignment horizontal="right" vertical="center"/>
      <protection locked="0"/>
    </xf>
    <xf numFmtId="165" fontId="13" fillId="0" borderId="0" xfId="0" applyNumberFormat="1" applyFont="1" applyAlignment="1" applyProtection="1">
      <alignment horizontal="right" vertical="center"/>
      <protection locked="0"/>
    </xf>
    <xf numFmtId="0" fontId="3" fillId="7" borderId="64" xfId="0" applyFont="1" applyFill="1" applyBorder="1"/>
    <xf numFmtId="186" fontId="13" fillId="16" borderId="0" xfId="0" applyNumberFormat="1" applyFont="1" applyFill="1" applyAlignment="1" applyProtection="1">
      <alignment horizontal="right" vertical="center"/>
      <protection locked="0"/>
    </xf>
    <xf numFmtId="38" fontId="3" fillId="0" borderId="1" xfId="0" applyNumberFormat="1" applyFont="1" applyBorder="1"/>
    <xf numFmtId="40" fontId="7" fillId="0" borderId="0" xfId="9" applyNumberFormat="1" applyFont="1" applyAlignment="1">
      <alignment horizontal="right" vertical="center"/>
    </xf>
    <xf numFmtId="186" fontId="13" fillId="0" borderId="0" xfId="0" applyNumberFormat="1" applyFont="1" applyAlignment="1">
      <alignment horizontal="right"/>
    </xf>
    <xf numFmtId="38" fontId="13" fillId="16" borderId="0" xfId="0" applyNumberFormat="1" applyFont="1" applyFill="1" applyAlignment="1" applyProtection="1">
      <alignment horizontal="right" vertical="center"/>
      <protection locked="0"/>
    </xf>
    <xf numFmtId="187" fontId="13" fillId="0" borderId="0" xfId="0" applyNumberFormat="1" applyFont="1" applyAlignment="1" applyProtection="1">
      <alignment horizontal="right" vertical="center"/>
      <protection locked="0"/>
    </xf>
    <xf numFmtId="187" fontId="13" fillId="0" borderId="0" xfId="0" applyNumberFormat="1" applyFont="1"/>
    <xf numFmtId="0" fontId="42" fillId="0" borderId="0" xfId="0" applyFont="1"/>
    <xf numFmtId="169" fontId="23" fillId="7" borderId="0" xfId="4" applyNumberFormat="1" applyFont="1" applyFill="1" applyBorder="1" applyAlignment="1">
      <alignment horizontal="right" vertical="center"/>
    </xf>
    <xf numFmtId="182" fontId="23" fillId="18" borderId="0" xfId="4" applyNumberFormat="1" applyFont="1" applyFill="1" applyBorder="1" applyAlignment="1">
      <alignment horizontal="right" vertical="center"/>
    </xf>
    <xf numFmtId="1" fontId="18" fillId="7" borderId="0" xfId="1" applyNumberFormat="1" applyFont="1" applyFill="1" applyAlignment="1">
      <alignment horizontal="right"/>
    </xf>
    <xf numFmtId="0" fontId="23" fillId="7" borderId="0" xfId="4" applyNumberFormat="1" applyFont="1" applyFill="1" applyBorder="1" applyAlignment="1">
      <alignment horizontal="right" vertical="center"/>
    </xf>
    <xf numFmtId="40" fontId="13" fillId="7" borderId="0" xfId="0" applyNumberFormat="1" applyFont="1" applyFill="1" applyAlignment="1" applyProtection="1">
      <alignment horizontal="right" vertical="center"/>
      <protection locked="0"/>
    </xf>
    <xf numFmtId="40" fontId="13" fillId="16" borderId="0" xfId="9" applyNumberFormat="1" applyFont="1" applyFill="1" applyAlignment="1" applyProtection="1">
      <alignment horizontal="right" vertical="center"/>
      <protection locked="0"/>
    </xf>
    <xf numFmtId="40" fontId="3" fillId="0" borderId="1" xfId="0" applyNumberFormat="1" applyFont="1" applyBorder="1"/>
    <xf numFmtId="38" fontId="4" fillId="0" borderId="0" xfId="0" applyNumberFormat="1" applyFont="1"/>
    <xf numFmtId="165" fontId="4" fillId="0" borderId="0" xfId="0" applyNumberFormat="1" applyFont="1"/>
    <xf numFmtId="182" fontId="0" fillId="16" borderId="0" xfId="0" applyNumberFormat="1" applyFill="1"/>
    <xf numFmtId="43" fontId="76" fillId="16" borderId="0" xfId="8" applyFont="1" applyFill="1" applyAlignment="1"/>
    <xf numFmtId="182" fontId="0" fillId="0" borderId="0" xfId="0" applyNumberFormat="1"/>
    <xf numFmtId="9" fontId="0" fillId="16" borderId="37" xfId="0" applyNumberFormat="1" applyFill="1" applyBorder="1"/>
    <xf numFmtId="9" fontId="0" fillId="16" borderId="0" xfId="0" applyNumberFormat="1" applyFill="1"/>
    <xf numFmtId="182" fontId="75" fillId="11" borderId="65" xfId="10" applyNumberFormat="1" applyFont="1" applyFill="1" applyBorder="1" applyAlignment="1">
      <alignment horizontal="center" vertical="center"/>
    </xf>
    <xf numFmtId="0" fontId="65" fillId="31" borderId="0" xfId="10" applyFont="1" applyFill="1" applyAlignment="1">
      <alignment horizontal="center"/>
    </xf>
    <xf numFmtId="0" fontId="13" fillId="32" borderId="0" xfId="0" applyFont="1" applyFill="1" applyAlignment="1">
      <alignment horizontal="right" vertical="center"/>
    </xf>
    <xf numFmtId="4" fontId="13" fillId="32" borderId="0" xfId="0" applyNumberFormat="1" applyFont="1" applyFill="1" applyAlignment="1">
      <alignment horizontal="right" vertical="center"/>
    </xf>
    <xf numFmtId="4" fontId="6" fillId="32" borderId="0" xfId="0" applyNumberFormat="1" applyFont="1" applyFill="1" applyAlignment="1">
      <alignment horizontal="right" vertical="center"/>
    </xf>
    <xf numFmtId="0" fontId="6" fillId="32" borderId="0" xfId="0" applyFont="1" applyFill="1" applyAlignment="1">
      <alignment horizontal="right" vertical="center"/>
    </xf>
    <xf numFmtId="3" fontId="13" fillId="32" borderId="0" xfId="0" applyNumberFormat="1" applyFont="1" applyFill="1" applyAlignment="1">
      <alignment horizontal="right" vertical="center"/>
    </xf>
    <xf numFmtId="0" fontId="10" fillId="0" borderId="0" xfId="0" applyFont="1" applyAlignment="1">
      <alignment horizontal="left" indent="2"/>
    </xf>
    <xf numFmtId="3" fontId="6" fillId="32" borderId="0" xfId="0" applyNumberFormat="1" applyFont="1" applyFill="1" applyAlignment="1">
      <alignment horizontal="right" vertical="center"/>
    </xf>
    <xf numFmtId="0" fontId="10" fillId="0" borderId="0" xfId="0" applyFont="1" applyAlignment="1">
      <alignment horizontal="left" indent="1"/>
    </xf>
    <xf numFmtId="8" fontId="99" fillId="32" borderId="66" xfId="0" applyNumberFormat="1" applyFont="1" applyFill="1" applyBorder="1" applyAlignment="1">
      <alignment horizontal="center" vertical="center"/>
    </xf>
    <xf numFmtId="8" fontId="79" fillId="32" borderId="67" xfId="0" applyNumberFormat="1" applyFont="1" applyFill="1" applyBorder="1" applyAlignment="1">
      <alignment horizontal="center" vertical="center"/>
    </xf>
    <xf numFmtId="8" fontId="79" fillId="32" borderId="68" xfId="0" applyNumberFormat="1" applyFont="1" applyFill="1" applyBorder="1" applyAlignment="1">
      <alignment horizontal="center" vertical="center"/>
    </xf>
    <xf numFmtId="8" fontId="79" fillId="32" borderId="66" xfId="0" applyNumberFormat="1" applyFont="1" applyFill="1" applyBorder="1" applyAlignment="1">
      <alignment horizontal="center" vertical="center"/>
    </xf>
    <xf numFmtId="8" fontId="0" fillId="0" borderId="0" xfId="0" applyNumberFormat="1"/>
    <xf numFmtId="181" fontId="100" fillId="16" borderId="0" xfId="10" applyNumberFormat="1" applyFont="1" applyFill="1" applyAlignment="1">
      <alignment horizontal="center"/>
    </xf>
    <xf numFmtId="182" fontId="101" fillId="11" borderId="38" xfId="10" applyNumberFormat="1" applyFont="1" applyFill="1" applyBorder="1" applyAlignment="1">
      <alignment horizontal="center" vertical="center"/>
    </xf>
    <xf numFmtId="1" fontId="13" fillId="32" borderId="0" xfId="0" applyNumberFormat="1" applyFont="1" applyFill="1" applyAlignment="1">
      <alignment horizontal="right" vertical="center"/>
    </xf>
    <xf numFmtId="187" fontId="13" fillId="16" borderId="0" xfId="9" applyNumberFormat="1" applyFont="1" applyFill="1" applyAlignment="1" applyProtection="1">
      <alignment horizontal="right" vertical="center"/>
      <protection locked="0"/>
    </xf>
    <xf numFmtId="43" fontId="23" fillId="18" borderId="0" xfId="6" applyFont="1" applyFill="1" applyBorder="1" applyAlignment="1">
      <alignment horizontal="right" vertical="center"/>
    </xf>
    <xf numFmtId="0" fontId="102" fillId="19" borderId="25" xfId="2" applyFont="1" applyFill="1" applyBorder="1" applyAlignment="1">
      <alignment horizontal="centerContinuous" vertical="center"/>
    </xf>
    <xf numFmtId="0" fontId="11" fillId="16" borderId="48" xfId="2" applyFill="1" applyBorder="1"/>
    <xf numFmtId="38" fontId="11" fillId="16" borderId="6" xfId="2" applyNumberFormat="1" applyFill="1" applyBorder="1"/>
    <xf numFmtId="0" fontId="11" fillId="16" borderId="6" xfId="2" applyFill="1" applyBorder="1"/>
    <xf numFmtId="43" fontId="11" fillId="16" borderId="50" xfId="2" applyNumberFormat="1" applyFill="1" applyBorder="1"/>
    <xf numFmtId="0" fontId="39" fillId="16" borderId="69" xfId="2" applyFont="1" applyFill="1" applyBorder="1"/>
    <xf numFmtId="0" fontId="39" fillId="16" borderId="70" xfId="2" applyFont="1" applyFill="1" applyBorder="1"/>
    <xf numFmtId="0" fontId="39" fillId="16" borderId="71" xfId="2" applyFont="1" applyFill="1" applyBorder="1"/>
    <xf numFmtId="2" fontId="6" fillId="32" borderId="0" xfId="0" applyNumberFormat="1" applyFont="1" applyFill="1" applyAlignment="1">
      <alignment horizontal="right" vertical="center"/>
    </xf>
    <xf numFmtId="0" fontId="44" fillId="10" borderId="0" xfId="0" applyFont="1" applyFill="1" applyAlignment="1">
      <alignment horizontal="center" vertical="center" wrapText="1"/>
    </xf>
    <xf numFmtId="181" fontId="79" fillId="8" borderId="0" xfId="10" applyNumberFormat="1" applyFont="1" applyFill="1" applyAlignment="1">
      <alignment horizontal="center" vertical="center"/>
    </xf>
    <xf numFmtId="181" fontId="79" fillId="7" borderId="37" xfId="10" applyNumberFormat="1" applyFont="1" applyFill="1" applyBorder="1" applyAlignment="1">
      <alignment horizontal="center" vertical="center"/>
    </xf>
    <xf numFmtId="0" fontId="65" fillId="25" borderId="36" xfId="10" applyFont="1" applyFill="1" applyBorder="1" applyAlignment="1">
      <alignment horizontal="center" vertical="center"/>
    </xf>
    <xf numFmtId="0" fontId="65" fillId="25" borderId="37" xfId="10" applyFont="1" applyFill="1" applyBorder="1" applyAlignment="1">
      <alignment horizontal="center" vertical="center"/>
    </xf>
    <xf numFmtId="0" fontId="65" fillId="25" borderId="38" xfId="10" applyFont="1" applyFill="1" applyBorder="1" applyAlignment="1">
      <alignment horizontal="center" vertical="center"/>
    </xf>
    <xf numFmtId="0" fontId="75" fillId="15" borderId="36" xfId="10" applyFont="1" applyFill="1" applyBorder="1" applyAlignment="1">
      <alignment horizontal="center" vertical="center"/>
    </xf>
    <xf numFmtId="0" fontId="75" fillId="15" borderId="37" xfId="10" applyFont="1" applyFill="1" applyBorder="1" applyAlignment="1">
      <alignment horizontal="center" vertical="center"/>
    </xf>
    <xf numFmtId="0" fontId="75" fillId="15" borderId="38" xfId="10" applyFont="1" applyFill="1" applyBorder="1" applyAlignment="1">
      <alignment horizontal="center" vertical="center"/>
    </xf>
    <xf numFmtId="181" fontId="79" fillId="7" borderId="38" xfId="10" applyNumberFormat="1" applyFont="1" applyFill="1" applyBorder="1" applyAlignment="1">
      <alignment horizontal="center" vertical="center"/>
    </xf>
    <xf numFmtId="0" fontId="75" fillId="23" borderId="36" xfId="10" applyFont="1" applyFill="1" applyBorder="1" applyAlignment="1">
      <alignment horizontal="center" vertical="center"/>
    </xf>
    <xf numFmtId="0" fontId="75" fillId="23" borderId="37" xfId="10" applyFont="1" applyFill="1" applyBorder="1" applyAlignment="1">
      <alignment horizontal="center" vertical="center"/>
    </xf>
    <xf numFmtId="0" fontId="75" fillId="23" borderId="38" xfId="10" applyFont="1" applyFill="1" applyBorder="1" applyAlignment="1">
      <alignment horizontal="center" vertical="center"/>
    </xf>
    <xf numFmtId="0" fontId="71" fillId="3" borderId="35" xfId="10" applyFont="1" applyFill="1" applyBorder="1" applyAlignment="1">
      <alignment horizontal="center" vertical="center"/>
    </xf>
    <xf numFmtId="0" fontId="82" fillId="12" borderId="35" xfId="10" applyFont="1" applyFill="1" applyBorder="1" applyAlignment="1">
      <alignment horizontal="center" vertical="center"/>
    </xf>
    <xf numFmtId="181" fontId="79" fillId="7" borderId="36" xfId="10" applyNumberFormat="1" applyFont="1" applyFill="1" applyBorder="1" applyAlignment="1">
      <alignment horizontal="center" vertical="center"/>
    </xf>
    <xf numFmtId="0" fontId="71" fillId="20" borderId="35" xfId="10" applyFont="1" applyFill="1" applyBorder="1" applyAlignment="1">
      <alignment horizontal="center" vertical="center"/>
    </xf>
    <xf numFmtId="9" fontId="79" fillId="7" borderId="37" xfId="10" applyNumberFormat="1" applyFont="1" applyFill="1" applyBorder="1" applyAlignment="1">
      <alignment horizontal="center" vertical="center"/>
    </xf>
    <xf numFmtId="6" fontId="79" fillId="32" borderId="67" xfId="0" applyNumberFormat="1" applyFont="1" applyFill="1" applyBorder="1" applyAlignment="1">
      <alignment horizontal="center" vertical="center"/>
    </xf>
    <xf numFmtId="185" fontId="79" fillId="24" borderId="37" xfId="10" applyNumberFormat="1" applyFont="1" applyFill="1" applyBorder="1" applyAlignment="1">
      <alignment horizontal="center" vertical="center"/>
    </xf>
    <xf numFmtId="185" fontId="79" fillId="24" borderId="36" xfId="10" applyNumberFormat="1" applyFont="1" applyFill="1" applyBorder="1" applyAlignment="1">
      <alignment horizontal="center" vertical="center"/>
    </xf>
    <xf numFmtId="6" fontId="79" fillId="32" borderId="66" xfId="0" applyNumberFormat="1" applyFont="1" applyFill="1" applyBorder="1" applyAlignment="1">
      <alignment horizontal="center" vertical="center"/>
    </xf>
    <xf numFmtId="185" fontId="79" fillId="24" borderId="38" xfId="10" applyNumberFormat="1" applyFont="1" applyFill="1" applyBorder="1" applyAlignment="1">
      <alignment horizontal="center" vertical="center"/>
    </xf>
    <xf numFmtId="6" fontId="79" fillId="32" borderId="68" xfId="0" applyNumberFormat="1" applyFont="1" applyFill="1" applyBorder="1" applyAlignment="1">
      <alignment horizontal="center" vertical="center"/>
    </xf>
  </cellXfs>
  <cellStyles count="11">
    <cellStyle name="Comma" xfId="8" builtinId="3"/>
    <cellStyle name="Comma 2" xfId="6" xr:uid="{4E657791-111D-457B-8409-0648870BCF1D}"/>
    <cellStyle name="Currency" xfId="9" builtinId="4"/>
    <cellStyle name="Hyperlink" xfId="3" builtinId="8"/>
    <cellStyle name="Normal" xfId="0" builtinId="0"/>
    <cellStyle name="Normal 2" xfId="2" xr:uid="{12DB5E10-DABD-4FD8-BF23-7A3AD885868A}"/>
    <cellStyle name="Normal 3" xfId="5" xr:uid="{0CE71C3D-0CAA-429E-A74C-9302B516E8AD}"/>
    <cellStyle name="Normal 8 3" xfId="7" xr:uid="{1C014C0F-6B2E-43E9-8BA8-490A81B19838}"/>
    <cellStyle name="Normal_HistPE Model Template" xfId="10" xr:uid="{11DB60CB-8175-47A1-99C9-BCC1B743239A}"/>
    <cellStyle name="Percent" xfId="1" builtinId="5"/>
    <cellStyle name="Percent 2" xfId="4" xr:uid="{3429D2B7-CC73-4046-8135-6F6EF29F9C0D}"/>
  </cellStyles>
  <dxfs count="0"/>
  <tableStyles count="0" defaultTableStyle="TableStyleMedium2" defaultPivotStyle="PivotStyleLight16"/>
  <colors>
    <mruColors>
      <color rgb="FF9E1422"/>
      <color rgb="FFFFFFCC"/>
      <color rgb="FF0000FF"/>
      <color rgb="FF006600"/>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Structure" Target="richData/rdrichvaluestructure.xml"/><Relationship Id="rId26" Type="http://schemas.openxmlformats.org/officeDocument/2006/relationships/customXml" Target="../customXml/item2.xml"/><Relationship Id="rId3" Type="http://schemas.openxmlformats.org/officeDocument/2006/relationships/worksheet" Target="worksheets/sheet3.xml"/><Relationship Id="rId21" Type="http://schemas.microsoft.com/office/2017/06/relationships/rdSupportingPropertyBag" Target="richData/rdsupportingpropertybag.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06/relationships/rdRichValue" Target="richData/rdrichvalue.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SupportingPropertyBagStructure" Target="richData/rdsupportingpropertybag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sharedStrings" Target="sharedStrings.xml"/><Relationship Id="rId23" Type="http://schemas.microsoft.com/office/2017/10/relationships/person" Target="persons/person.xml"/><Relationship Id="rId10" Type="http://schemas.openxmlformats.org/officeDocument/2006/relationships/worksheet" Target="worksheets/sheet10.xml"/><Relationship Id="rId19" Type="http://schemas.microsoft.com/office/2017/06/relationships/richStyles" Target="richData/rich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microsoft.com/office/2017/06/relationships/rdRichValueTypes" Target="richData/rdRichValueTypes.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Summary!$D$32</c:f>
              <c:strCache>
                <c:ptCount val="1"/>
                <c:pt idx="0">
                  <c:v>Low</c:v>
                </c:pt>
              </c:strCache>
            </c:strRef>
          </c:tx>
          <c:spPr>
            <a:noFill/>
            <a:ln>
              <a:noFill/>
            </a:ln>
            <a:effectLst/>
          </c:spPr>
          <c:invertIfNegative val="0"/>
          <c:cat>
            <c:strRef>
              <c:f>Summary!$B$33:$B$36</c:f>
              <c:strCache>
                <c:ptCount val="4"/>
                <c:pt idx="0">
                  <c:v>Discounted Cash Flow (Exit Multiple) (15%)</c:v>
                </c:pt>
                <c:pt idx="1">
                  <c:v>#REF!</c:v>
                </c:pt>
                <c:pt idx="2">
                  <c:v>Market Multiples: EV to Sales (45%)</c:v>
                </c:pt>
                <c:pt idx="3">
                  <c:v>Market Multiples: Market Cap to Sales (40%)</c:v>
                </c:pt>
              </c:strCache>
            </c:strRef>
          </c:cat>
          <c:val>
            <c:numRef>
              <c:f>Summary!$D$33:$D$36</c:f>
              <c:numCache>
                <c:formatCode>_(* #,##0.0_);_(* \(#,##0.0\);_(* "-"??_);_(@_)</c:formatCode>
                <c:ptCount val="4"/>
                <c:pt idx="0">
                  <c:v>126.62037239524021</c:v>
                </c:pt>
                <c:pt idx="1">
                  <c:v>0</c:v>
                </c:pt>
                <c:pt idx="2">
                  <c:v>38.95143517747379</c:v>
                </c:pt>
                <c:pt idx="3">
                  <c:v>35.082823399216018</c:v>
                </c:pt>
              </c:numCache>
            </c:numRef>
          </c:val>
          <c:extLst>
            <c:ext xmlns:c16="http://schemas.microsoft.com/office/drawing/2014/chart" uri="{C3380CC4-5D6E-409C-BE32-E72D297353CC}">
              <c16:uniqueId val="{00000000-DC34-4AAF-BC29-57E83CD4BB73}"/>
            </c:ext>
          </c:extLst>
        </c:ser>
        <c:ser>
          <c:idx val="1"/>
          <c:order val="1"/>
          <c:tx>
            <c:strRef>
              <c:f>Summary!$E$32</c:f>
              <c:strCache>
                <c:ptCount val="1"/>
                <c:pt idx="0">
                  <c:v>Median</c:v>
                </c:pt>
              </c:strCache>
            </c:strRef>
          </c:tx>
          <c:spPr>
            <a:solidFill>
              <a:schemeClr val="accent1"/>
            </a:solidFill>
            <a:ln>
              <a:noFill/>
            </a:ln>
            <a:effectLst/>
          </c:spPr>
          <c:invertIfNegative val="0"/>
          <c:cat>
            <c:strRef>
              <c:f>Summary!$B$33:$B$36</c:f>
              <c:strCache>
                <c:ptCount val="4"/>
                <c:pt idx="0">
                  <c:v>Discounted Cash Flow (Exit Multiple) (15%)</c:v>
                </c:pt>
                <c:pt idx="1">
                  <c:v>#REF!</c:v>
                </c:pt>
                <c:pt idx="2">
                  <c:v>Market Multiples: EV to Sales (45%)</c:v>
                </c:pt>
                <c:pt idx="3">
                  <c:v>Market Multiples: Market Cap to Sales (40%)</c:v>
                </c:pt>
              </c:strCache>
            </c:strRef>
          </c:cat>
          <c:val>
            <c:numRef>
              <c:f>Summary!$E$33:$E$36</c:f>
              <c:numCache>
                <c:formatCode>_(* #,##0.0_);_(* \(#,##0.0\);_(* "-"??_);_(@_)</c:formatCode>
                <c:ptCount val="4"/>
                <c:pt idx="0">
                  <c:v>14.068930266137798</c:v>
                </c:pt>
                <c:pt idx="1">
                  <c:v>0</c:v>
                </c:pt>
                <c:pt idx="2">
                  <c:v>4.3279372419415338</c:v>
                </c:pt>
                <c:pt idx="3">
                  <c:v>3.8980914888017821</c:v>
                </c:pt>
              </c:numCache>
            </c:numRef>
          </c:val>
          <c:extLst>
            <c:ext xmlns:c16="http://schemas.microsoft.com/office/drawing/2014/chart" uri="{C3380CC4-5D6E-409C-BE32-E72D297353CC}">
              <c16:uniqueId val="{00000001-DC34-4AAF-BC29-57E83CD4BB73}"/>
            </c:ext>
          </c:extLst>
        </c:ser>
        <c:ser>
          <c:idx val="2"/>
          <c:order val="2"/>
          <c:tx>
            <c:strRef>
              <c:f>Summary!$F$32</c:f>
              <c:strCache>
                <c:ptCount val="1"/>
                <c:pt idx="0">
                  <c:v>Extra</c:v>
                </c:pt>
              </c:strCache>
            </c:strRef>
          </c:tx>
          <c:spPr>
            <a:solidFill>
              <a:schemeClr val="bg1"/>
            </a:solidFill>
            <a:ln>
              <a:noFill/>
            </a:ln>
            <a:effectLst/>
          </c:spPr>
          <c:invertIfNegative val="0"/>
          <c:cat>
            <c:strRef>
              <c:f>Summary!$B$33:$B$36</c:f>
              <c:strCache>
                <c:ptCount val="4"/>
                <c:pt idx="0">
                  <c:v>Discounted Cash Flow (Exit Multiple) (15%)</c:v>
                </c:pt>
                <c:pt idx="1">
                  <c:v>#REF!</c:v>
                </c:pt>
                <c:pt idx="2">
                  <c:v>Market Multiples: EV to Sales (45%)</c:v>
                </c:pt>
                <c:pt idx="3">
                  <c:v>Market Multiples: Market Cap to Sales (40%)</c:v>
                </c:pt>
              </c:strCache>
            </c:strRef>
          </c:cat>
          <c:val>
            <c:numRef>
              <c:f>Summary!$F$33:$F$36</c:f>
              <c:numCache>
                <c:formatCode>_(* #,##0.0_);_(* \(#,##0.0\);_(* "-"??_);_(@_)</c:formatCode>
                <c:ptCount val="4"/>
                <c:pt idx="0">
                  <c:v>1.404286973578768</c:v>
                </c:pt>
                <c:pt idx="1">
                  <c:v>1.404286973578768</c:v>
                </c:pt>
                <c:pt idx="2">
                  <c:v>1.404286973578768</c:v>
                </c:pt>
                <c:pt idx="3">
                  <c:v>1.404286973578768</c:v>
                </c:pt>
              </c:numCache>
            </c:numRef>
          </c:val>
          <c:extLst>
            <c:ext xmlns:c16="http://schemas.microsoft.com/office/drawing/2014/chart" uri="{C3380CC4-5D6E-409C-BE32-E72D297353CC}">
              <c16:uniqueId val="{00000002-DC34-4AAF-BC29-57E83CD4BB73}"/>
            </c:ext>
          </c:extLst>
        </c:ser>
        <c:ser>
          <c:idx val="3"/>
          <c:order val="3"/>
          <c:tx>
            <c:strRef>
              <c:f>Summary!$G$32</c:f>
              <c:strCache>
                <c:ptCount val="1"/>
                <c:pt idx="0">
                  <c:v>High</c:v>
                </c:pt>
              </c:strCache>
            </c:strRef>
          </c:tx>
          <c:spPr>
            <a:solidFill>
              <a:schemeClr val="accent1"/>
            </a:solidFill>
            <a:ln>
              <a:noFill/>
            </a:ln>
            <a:effectLst/>
          </c:spPr>
          <c:invertIfNegative val="0"/>
          <c:cat>
            <c:strRef>
              <c:f>Summary!$B$33:$B$36</c:f>
              <c:strCache>
                <c:ptCount val="4"/>
                <c:pt idx="0">
                  <c:v>Discounted Cash Flow (Exit Multiple) (15%)</c:v>
                </c:pt>
                <c:pt idx="1">
                  <c:v>#REF!</c:v>
                </c:pt>
                <c:pt idx="2">
                  <c:v>Market Multiples: EV to Sales (45%)</c:v>
                </c:pt>
                <c:pt idx="3">
                  <c:v>Market Multiples: Market Cap to Sales (40%)</c:v>
                </c:pt>
              </c:strCache>
            </c:strRef>
          </c:cat>
          <c:val>
            <c:numRef>
              <c:f>Summary!$G$33:$G$36</c:f>
              <c:numCache>
                <c:formatCode>_(* #,##0.0_);_(* \(#,##0.0\);_(* "-"??_);_(@_)</c:formatCode>
                <c:ptCount val="4"/>
                <c:pt idx="0">
                  <c:v>12.664643292559044</c:v>
                </c:pt>
                <c:pt idx="1">
                  <c:v>0</c:v>
                </c:pt>
                <c:pt idx="2">
                  <c:v>2.9236502683627661</c:v>
                </c:pt>
                <c:pt idx="3">
                  <c:v>2.4938045152230144</c:v>
                </c:pt>
              </c:numCache>
            </c:numRef>
          </c:val>
          <c:extLst>
            <c:ext xmlns:c16="http://schemas.microsoft.com/office/drawing/2014/chart" uri="{C3380CC4-5D6E-409C-BE32-E72D297353CC}">
              <c16:uniqueId val="{00000003-DC34-4AAF-BC29-57E83CD4BB73}"/>
            </c:ext>
          </c:extLst>
        </c:ser>
        <c:dLbls>
          <c:showLegendKey val="0"/>
          <c:showVal val="0"/>
          <c:showCatName val="0"/>
          <c:showSerName val="0"/>
          <c:showPercent val="0"/>
          <c:showBubbleSize val="0"/>
        </c:dLbls>
        <c:gapWidth val="150"/>
        <c:overlap val="100"/>
        <c:axId val="942916527"/>
        <c:axId val="942916943"/>
      </c:barChart>
      <c:lineChart>
        <c:grouping val="standard"/>
        <c:varyColors val="0"/>
        <c:ser>
          <c:idx val="4"/>
          <c:order val="4"/>
          <c:tx>
            <c:strRef>
              <c:f>Summary!$H$32</c:f>
              <c:strCache>
                <c:ptCount val="1"/>
                <c:pt idx="0">
                  <c:v>EV</c:v>
                </c:pt>
              </c:strCache>
            </c:strRef>
          </c:tx>
          <c:spPr>
            <a:ln w="28575" cap="rnd">
              <a:solidFill>
                <a:schemeClr val="tx2"/>
              </a:solidFill>
              <a:prstDash val="dash"/>
              <a:round/>
            </a:ln>
            <a:effectLst/>
          </c:spPr>
          <c:marker>
            <c:symbol val="none"/>
          </c:marker>
          <c:cat>
            <c:strRef>
              <c:f>Summary!$B$33:$B$36</c:f>
              <c:strCache>
                <c:ptCount val="4"/>
                <c:pt idx="0">
                  <c:v>Discounted Cash Flow (Exit Multiple) (15%)</c:v>
                </c:pt>
                <c:pt idx="1">
                  <c:v>#REF!</c:v>
                </c:pt>
                <c:pt idx="2">
                  <c:v>Market Multiples: EV to Sales (45%)</c:v>
                </c:pt>
                <c:pt idx="3">
                  <c:v>Market Multiples: Market Cap to Sales (40%)</c:v>
                </c:pt>
              </c:strCache>
            </c:strRef>
          </c:cat>
          <c:val>
            <c:numRef>
              <c:f>Summary!$H$33:$H$36</c:f>
              <c:numCache>
                <c:formatCode>_(* #,##0.0_);_(* \(#,##0.0\);_(* "-"??_);_(@_)</c:formatCode>
                <c:ptCount val="4"/>
                <c:pt idx="0">
                  <c:v>56.171478943150717</c:v>
                </c:pt>
                <c:pt idx="1">
                  <c:v>56.171478943150717</c:v>
                </c:pt>
                <c:pt idx="2">
                  <c:v>56.171478943150717</c:v>
                </c:pt>
                <c:pt idx="3">
                  <c:v>56.171478943150717</c:v>
                </c:pt>
              </c:numCache>
            </c:numRef>
          </c:val>
          <c:smooth val="0"/>
          <c:extLst>
            <c:ext xmlns:c16="http://schemas.microsoft.com/office/drawing/2014/chart" uri="{C3380CC4-5D6E-409C-BE32-E72D297353CC}">
              <c16:uniqueId val="{00000004-DC34-4AAF-BC29-57E83CD4BB73}"/>
            </c:ext>
          </c:extLst>
        </c:ser>
        <c:dLbls>
          <c:showLegendKey val="0"/>
          <c:showVal val="0"/>
          <c:showCatName val="0"/>
          <c:showSerName val="0"/>
          <c:showPercent val="0"/>
          <c:showBubbleSize val="0"/>
        </c:dLbls>
        <c:marker val="1"/>
        <c:smooth val="0"/>
        <c:axId val="942916527"/>
        <c:axId val="942916943"/>
      </c:lineChart>
      <c:catAx>
        <c:axId val="942916527"/>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42916943"/>
        <c:crosses val="autoZero"/>
        <c:auto val="1"/>
        <c:lblAlgn val="ctr"/>
        <c:lblOffset val="100"/>
        <c:noMultiLvlLbl val="0"/>
      </c:catAx>
      <c:valAx>
        <c:axId val="942916943"/>
        <c:scaling>
          <c:orientation val="minMax"/>
        </c:scaling>
        <c:delete val="0"/>
        <c:axPos val="l"/>
        <c:majorGridlines>
          <c:spPr>
            <a:ln w="9525" cap="flat" cmpd="sng" algn="ctr">
              <a:noFill/>
              <a:round/>
            </a:ln>
            <a:effectLst/>
          </c:spPr>
        </c:majorGridlines>
        <c:numFmt formatCode="&quot;$&quot;#,##0.0_);[Red]\(&quot;$&quot;#,##0.0\)" sourceLinked="0"/>
        <c:majorTickMark val="out"/>
        <c:minorTickMark val="none"/>
        <c:tickLblPos val="nextTo"/>
        <c:spPr>
          <a:noFill/>
          <a:ln>
            <a:solidFill>
              <a:schemeClr val="bg1">
                <a:lumMod val="6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42916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53340</xdr:colOff>
      <xdr:row>6</xdr:row>
      <xdr:rowOff>27622</xdr:rowOff>
    </xdr:from>
    <xdr:to>
      <xdr:col>11</xdr:col>
      <xdr:colOff>552450</xdr:colOff>
      <xdr:row>17</xdr:row>
      <xdr:rowOff>278130</xdr:rowOff>
    </xdr:to>
    <xdr:graphicFrame macro="">
      <xdr:nvGraphicFramePr>
        <xdr:cNvPr id="2" name="Chart 1">
          <a:extLst>
            <a:ext uri="{FF2B5EF4-FFF2-40B4-BE49-F238E27FC236}">
              <a16:creationId xmlns:a16="http://schemas.microsoft.com/office/drawing/2014/main" id="{CED9D5AF-9478-E660-E050-26F01CB13F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Nicholas Douglas" id="{C94DAA81-B367-4C05-B510-FCF9EA669F97}" userId="Nicholas Douglas" providerId="None"/>
  <person displayName="Nicholas Douglas" id="{43D95365-498A-406B-8B15-B1CC91B93845}" userId="S::douglas.n@northeastern.edu::e3f71815-d6a8-4aa0-b68c-38586fea8883" providerId="AD"/>
  <person displayName="Sumukh Sai Nagaraj" id="{2A7C8E4F-4C6A-4F2D-A1A2-5A13BDD496D7}" userId="S::nagaraj.su@northeastern.edu::03dcea47-c3c8-4800-b578-f6c69e3e02a5" providerId="AD"/>
  <person displayName="Isha Kulkarni" id="{36910624-1466-418A-AF2F-E761FE54584C}" userId="S::kulkarni.is@northeastern.edu::c28a4501-9bc8-4db4-bc3a-80161c293c14" providerId="AD"/>
  <person displayName="Joshua Gutierrez" id="{96605EFD-7A77-4486-84E1-4C5066AF9A8D}" userId="S::gutierrez.jos@northeastern.edu::aec630d6-21d5-4f4b-924f-8e4bbae62ee0"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
  <rv s="0">
    <v>https://www.bing.com/financeapi/forcetrigger?t=bx1rdm&amp;q=XNYS%3aSMR&amp;form=skydnc</v>
    <v>Learn more on Bing</v>
  </rv>
  <rv s="1">
    <v>en-US</v>
    <v>bx1rdm</v>
    <v>268435456</v>
    <v>1</v>
    <v>Powered by Refinitiv</v>
    <v>0</v>
    <v>NUSCALE POWER CORPORATION (XNYS:SMR)</v>
    <v>2</v>
    <v>3</v>
    <v>Finance</v>
    <v>4</v>
    <v>57.42</v>
    <v>11.08</v>
    <v>1.9741</v>
    <v>-3.39</v>
    <v>1.6949000000000002E-2</v>
    <v>-7.1159E-2</v>
    <v>0.75</v>
    <v>USD</v>
    <v>NuScale Power Corporation is a provider of proprietary advanced small modular reactor nuclear technology. The NuScale Power Module, the Company's SMR technology, is a small pressurized water reactor that can generate 77 megawatts of electricity (MWe) or 250 megawatts thermal (gross) and can be scaled to meet customer needs through an array of flexible configurations of up to 924 MWe (12 modules) of output. In addition to the sale of NPMs, it offers a diversified suite of services throughout the development and operating life of the power plant. The Company's suite of services is planned to include licensing support, testing, training, fuel supply services and program management, among others. It serves a range of customers consisting of governments, political subdivisions, state-owned enterprises, investor-owned utilities and other technology and industrial companies, both in domestic and international markets.</v>
    <v>330</v>
    <v>New York Stock Exchange</v>
    <v>XNYS</v>
    <v>XNYS</v>
    <v>1100 Ne Circle Blvd., Suite 350, CORVALLIS, OR, 97330 US</v>
    <v>48.67</v>
    <v>Electrical Utilities &amp; IPPs</v>
    <v>Stock</v>
    <v>45947.999959825778</v>
    <v>0</v>
    <v>42.67</v>
    <v>12605798400</v>
    <v>NUSCALE POWER CORPORATION</v>
    <v>NUSCALE POWER CORPORATION</v>
    <v>48.000100000000003</v>
    <v>47.64</v>
    <v>44.25</v>
    <v>45</v>
    <v>284876800</v>
    <v>SMR</v>
    <v>NUSCALE POWER CORPORATION (XNYS:SMR)</v>
    <v>30755019</v>
    <v>23771605</v>
    <v>2022</v>
  </rv>
  <rv s="2">
    <v>1</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Price (Extended hours)"/>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1</v>
      <v>3</v>
      <v>1</v>
      <v>1</v>
      <v>1</v>
      <v>4</v>
      <v>4</v>
      <v>5</v>
      <v>6</v>
      <v>1</v>
      <v>1</v>
      <v>1</v>
      <v>4</v>
      <v>7</v>
      <v>8</v>
      <v>9</v>
      <v>4</v>
      <v>1</v>
      <v>1</v>
      <v>5</v>
    </spb>
    <spb s="4">
      <v>at close</v>
      <v>from previous close</v>
      <v>from previous close</v>
      <v>Source: Nasdaq</v>
      <v>GMT</v>
      <v>Delayed 15 minutes</v>
      <v>from close</v>
      <v>from close</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0" formatCode="General"/>
    </x:dxf>
    <x:dxf>
      <x:numFmt numFmtId="4" formatCode="#,##0.00"/>
    </x:dxf>
    <x:dxf>
      <x:numFmt numFmtId="3" formatCode="#,##0"/>
    </x:dxf>
    <x:dxf>
      <x:numFmt numFmtId="14" formatCode="0.00%"/>
    </x:dxf>
    <x:dxf>
      <x:numFmt numFmtId="2" formatCode="0.00"/>
    </x:dxf>
    <x:dxf>
      <x:numFmt numFmtId="27" formatCode="m/d/yyyy\ h:mm"/>
    </x:dxf>
    <x:dxf>
      <x:numFmt numFmtId="1" formatCode="0"/>
    </x:dxf>
  </dxfs>
  <richProperties>
    <rPr n="NumberFormat" t="s"/>
    <rPr n="IsTitleField" t="b"/>
  </richProperties>
  <richStyles>
    <rSty dxfid="0">
      <rpv i="0">_([$$-en-US]* #,##0.00_);_([$$-en-US]* (#,##0.00);_([$$-en-US]* "-"??_);_(@_)</rpv>
    </rSty>
    <rSty dxfid="1">
      <rpv i="0">#,##0.00</rpv>
    </rSty>
    <rSty>
      <rpv i="1">1</rpv>
    </rSty>
    <rSty dxfid="2">
      <rpv i="0">#,##0</rpv>
    </rSty>
    <rSty dxfid="3"/>
    <rSty dxfid="0">
      <rpv i="0">_([$$-en-US]* #,##0_);_([$$-en-US]* (#,##0);_([$$-en-US]* "-"_);_(@_)</rpv>
    </rSty>
    <rSty dxfid="5"/>
    <rSty dxfid="6">
      <rpv i="0">0</rpv>
    </rSty>
    <rSty dxfid="4">
      <rpv i="0">0.00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9B7BFA4-9C1C-4438-9D5E-3B05480ECC26}" name="Table4" displayName="Table4" ref="A3:B11" totalsRowShown="0">
  <autoFilter ref="A3:B11" xr:uid="{29B7BFA4-9C1C-4438-9D5E-3B05480ECC26}"/>
  <tableColumns count="2">
    <tableColumn id="1" xr3:uid="{74FABB66-7F30-4085-8564-6DA269ABDEA5}" name="Purchased Companies"/>
    <tableColumn id="2" xr3:uid="{1EA3FE8A-5E76-48D7-954E-00C213F927A6}" name="EV/Revenue LT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Northeastern">
      <a:dk1>
        <a:sysClr val="windowText" lastClr="000000"/>
      </a:dk1>
      <a:lt1>
        <a:sysClr val="window" lastClr="FFFFFF"/>
      </a:lt1>
      <a:dk2>
        <a:srgbClr val="D41B2C"/>
      </a:dk2>
      <a:lt2>
        <a:srgbClr val="E5D4AB"/>
      </a:lt2>
      <a:accent1>
        <a:srgbClr val="99A3B0"/>
      </a:accent1>
      <a:accent2>
        <a:srgbClr val="CFC7BF"/>
      </a:accent2>
      <a:accent3>
        <a:srgbClr val="A5A5A5"/>
      </a:accent3>
      <a:accent4>
        <a:srgbClr val="A19994"/>
      </a:accent4>
      <a:accent5>
        <a:srgbClr val="385775"/>
      </a:accent5>
      <a:accent6>
        <a:srgbClr val="006EB5"/>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3" dT="2023-02-24T15:08:25.71" personId="{43D95365-498A-406B-8B15-B1CC91B93845}" id="{7FAE66BA-6DB7-4ECD-8697-67FEA1C66A05}">
    <text>Use WACC function on Bloomberg. Expand details on cost of debt and use the "debt adjustment factor".</text>
  </threadedComment>
  <threadedComment ref="B14" dT="2023-02-24T15:08:39.19" personId="{43D95365-498A-406B-8B15-B1CC91B93845}" id="{15B8CD1C-1384-4DEC-BF82-9A81D31E3F1E}">
    <text>Based on assumption from company fillings &amp; historical average.
Bloomberg's WACC function can also give insight on the approximate value.</text>
  </threadedComment>
  <threadedComment ref="C14" dT="2025-09-18T16:10:28.47" personId="{96605EFD-7A77-4486-84E1-4C5066AF9A8D}" id="{0E1972D8-A8CF-4029-AB06-3D779CA4E7A0}">
    <text>Earnings report cited effective tax rate of 21%</text>
  </threadedComment>
  <threadedComment ref="B19" dT="2023-02-01T21:56:23.59" personId="{C94DAA81-B367-4C05-B510-FCF9EA669F97}" id="{316ADEF6-917B-40F7-9D79-EA5550114E09}">
    <text>Note: This is an extra risk premium on top of the US Equity Risk Premium.
In most cases, this will be 0% (since we invest in US Equities). If a US company has significant international sales, we may consider adding in an additional risk premium here.</text>
  </threadedComment>
  <threadedComment ref="B20" dT="2023-02-01T21:56:57.89" personId="{C94DAA81-B367-4C05-B510-FCF9EA669F97}" id="{9C2A2920-93A4-4062-AF7C-FCCB88F09983}">
    <text>Additional risk premium for smaller companies.</text>
  </threadedComment>
  <threadedComment ref="B21" dT="2023-02-01T21:58:11.15" personId="{C94DAA81-B367-4C05-B510-FCF9EA669F97}" id="{D5373565-6335-450B-8BDA-6DD0C3779410}">
    <text>Regression (levered) beta vs. the Russell 3000 Index.
We use the Russell 3K as the base, since this is our portfolio's benchmark.</text>
  </threadedComment>
  <threadedComment ref="B25" dT="2023-02-24T15:08:04.33" personId="{43D95365-498A-406B-8B15-B1CC91B93845}" id="{EB1327CE-AD20-47FC-B9DB-2B74E2E4052B}">
    <text>Must be entered in the same units as the underlying financial data (i.e. all in Thousands, Millions, etc.)</text>
  </threadedComment>
</ThreadedComments>
</file>

<file path=xl/threadedComments/threadedComment2.xml><?xml version="1.0" encoding="utf-8"?>
<ThreadedComments xmlns="http://schemas.microsoft.com/office/spreadsheetml/2018/threadedcomments" xmlns:x="http://schemas.openxmlformats.org/spreadsheetml/2006/main">
  <threadedComment ref="D6" dT="2023-02-22T20:54:24.72" personId="{43D95365-498A-406B-8B15-B1CC91B93845}" id="{87B44FF1-835F-48CD-B211-BFDC197E6CB1}">
    <text>Analyst may need to add or delete rows to reflect company-specific financial statements. As along as summation rows are not adjusted, the template will work.</text>
  </threadedComment>
  <threadedComment ref="E6" dT="2023-02-24T15:10:39.16" personId="{43D95365-498A-406B-8B15-B1CC91B93845}" id="{11394B89-6184-493B-A994-925B563D6BE7}">
    <text>NEVER DELETE THIS COLUMN
(It is structural for workbook automation).</text>
  </threadedComment>
  <threadedComment ref="F6" dT="2023-02-23T20:41:17.59" personId="{43D95365-498A-406B-8B15-B1CC91B93845}" id="{5CFCEE4F-7429-41A3-83E2-0C18054E8187}">
    <text>First Historical Date</text>
  </threadedComment>
  <threadedComment ref="J6" dT="2024-01-18T23:08:26.81" personId="{2A7C8E4F-4C6A-4F2D-A1A2-5A13BDD496D7}" id="{AA4273B6-B36C-4843-A5C3-1F8ABB9647EC}">
    <text>Change the forecasting years if the annual reports are already out. The expectation is at least 5 years of forecasts</text>
  </threadedComment>
  <threadedComment ref="O6" dT="2023-02-24T15:10:32.24" personId="{43D95365-498A-406B-8B15-B1CC91B93845}" id="{01147EA1-6C3A-476A-9986-B69F7B6D379B}">
    <text>NEVER DELETE THIS COLUMN
(It is structural for workbook automation).</text>
  </threadedComment>
  <threadedComment ref="AF11" dT="2024-01-22T08:44:41.18" personId="{2A7C8E4F-4C6A-4F2D-A1A2-5A13BDD496D7}" id="{4E17A871-140C-4F0B-B35F-794DEF022E8D}">
    <text>Use this as the median case for sensitivity analysis to sales growth rate. Let there be a smoother scaling from last value to terminal value.</text>
  </threadedComment>
  <threadedComment ref="D14" dT="2024-01-19T01:50:04.62" personId="{2A7C8E4F-4C6A-4F2D-A1A2-5A13BDD496D7}" id="{DDB6D32A-1D69-4747-9A3C-AA893F7AFDBC}">
    <text xml:space="preserve">You can remove COGS 2, if the company only has one COGS segment. </text>
  </threadedComment>
  <threadedComment ref="Z15" dT="2024-01-18T22:53:04.47" personId="{2A7C8E4F-4C6A-4F2D-A1A2-5A13BDD496D7}" id="{C4D6E49F-DC36-4918-BF23-B21CA80AC212}">
    <text>This is percent of total revenues. 
COGS/Net Revenue</text>
  </threadedComment>
  <threadedComment ref="AF16" dT="2024-01-22T08:44:41.18" personId="{2A7C8E4F-4C6A-4F2D-A1A2-5A13BDD496D7}" id="{853F5B4C-D235-4988-BAA7-D95C8946A5D0}">
    <text>Use this as the median case for sensitivity analysis for COGS% change</text>
  </threadedComment>
  <threadedComment ref="AF27" dT="2024-01-22T08:44:41.18" personId="{2A7C8E4F-4C6A-4F2D-A1A2-5A13BDD496D7}" id="{C9943A49-1176-4FEE-8E76-B475E00BACA2}">
    <text>Use this as the median case for sensitivity analysis for opex% change</text>
  </threadedComment>
  <threadedComment ref="J46" dT="2024-01-19T03:37:56.88" personId="{2A7C8E4F-4C6A-4F2D-A1A2-5A13BDD496D7}" id="{08BA35F0-BB4E-4194-95D7-842FB1605926}">
    <text>See how the company derives the adjusted Ebitda. Or use dividend payout ratio. Use your creativity</text>
  </threadedComment>
  <threadedComment ref="D47" dT="2023-02-24T00:44:52.20" personId="{43D95365-498A-406B-8B15-B1CC91B93845}" id="{778F1D4F-5238-4D63-B6FB-A65BB1B812C6}">
    <text>Historicals: Pull from Balance Sheet
Projections: Calculate and link back to Balance Sheet.</text>
  </threadedComment>
  <threadedComment ref="B49" dT="2022-11-10T20:40:11.04" personId="{C94DAA81-B367-4C05-B510-FCF9EA669F97}" id="{23539609-81A9-46E2-9142-AA485C480600}">
    <text>ST = Short Term
LT = Long Term
NO = "Non-Operating"
FC = "Financial Claims"</text>
  </threadedComment>
  <threadedComment ref="D49" dT="2023-02-22T20:36:41.53" personId="{43D95365-498A-406B-8B15-B1CC91B93845}" id="{A095366A-69C9-48CE-92F2-10E9A24067B5}">
    <text>Recommendation:
Enter historicals here, and link historical schedules (below) back to here. Then, use schedules to project future balances, and link projections back to the balance sheet.
Working Capital and other operating items should be projected line by line (via the "Supplementary Schedules" section below), and linked back to this balance sheet.
Non-operating items or items that cannot be reasonably predicted should be entered here directly. OK to hold at value, but any change in value must be reconciled in Owner's Equity or the Statement of Cash Flows!</text>
  </threadedComment>
  <threadedComment ref="D104" dT="2022-11-10T20:46:21.44" personId="{C94DAA81-B367-4C05-B510-FCF9EA669F97}" id="{FAE78D81-EF7C-4D3C-AA6A-80EAD8F622E8}">
    <text>Increase = Use of Cash</text>
  </threadedComment>
  <threadedComment ref="D106" dT="2023-02-22T20:40:17.19" personId="{43D95365-498A-406B-8B15-B1CC91B93845}" id="{AABFFF60-289F-4A8D-9FD0-5FE5967A174B}">
    <text>Does not need to be reproduced historically.</text>
  </threadedComment>
  <threadedComment ref="D134" dT="2023-02-23T20:43:52.90" personId="{43D95365-498A-406B-8B15-B1CC91B93845}" id="{2487323F-B302-42FB-8A9F-665EBA57D50C}">
    <text>Can add or remove new sections as needed, but remember to link to the Balance Sheet and Statement of Cash Flows.</text>
  </threadedComment>
  <threadedComment ref="D141" dT="2023-02-24T00:47:11.52" personId="{43D95365-498A-406B-8B15-B1CC91B93845}" id="{C6693425-A34B-45DF-BA50-F97E57E8C13A}">
    <text>= Average Balance / Sales * 365
Calculate based off of historical values, and then use this to project future periods (by inverting the formula).</text>
  </threadedComment>
  <threadedComment ref="D147" dT="2023-02-24T00:48:05.12" personId="{43D95365-498A-406B-8B15-B1CC91B93845}" id="{0FC46834-0EE0-4E6B-9AF8-BF553D880585}">
    <text>= Average Balance / ABS(COGS) * 365
Calculate based off of historical values, and then use this to project future periods (by inverting the formula).</text>
  </threadedComment>
  <threadedComment ref="D153" dT="2023-02-24T00:48:24.53" personId="{43D95365-498A-406B-8B15-B1CC91B93845}" id="{511F60FC-6802-4CB3-9AD6-216549A00F42}">
    <text>= Average Balance / Sales
Calculate based off of historical values, and then use this to project future periods (by inverting the formula).</text>
  </threadedComment>
  <threadedComment ref="D159" dT="2023-02-24T00:48:34.40" personId="{43D95365-498A-406B-8B15-B1CC91B93845}" id="{E5E1F79C-3076-46C1-A83E-029D69AA99A5}">
    <text>= Average Balance / Sales
Calculate based off of historical values, and then use this to project future periods (by inverting the formula).</text>
  </threadedComment>
  <threadedComment ref="D165" dT="2023-02-24T00:48:54.07" personId="{43D95365-498A-406B-8B15-B1CC91B93845}" id="{011630FE-28A9-4AC4-AE83-859471B1DCC9}">
    <text>= Average Balance / ABS(COGS) * 365
Calculate based off of historical values, and then use this to project future periods (by inverting the formula).</text>
  </threadedComment>
  <threadedComment ref="D171" dT="2023-02-24T00:49:27.24" personId="{43D95365-498A-406B-8B15-B1CC91B93845}" id="{59121CB9-C33E-4C62-909C-438DB382DF5E}">
    <text>= Average Balance / ABS(COGS) * 365
Calculate based off of historical values, and then use this to project future periods (by inverting the formula).</text>
  </threadedComment>
  <threadedComment ref="D177" dT="2023-02-24T00:49:34.76" personId="{43D95365-498A-406B-8B15-B1CC91B93845}" id="{515052DB-371D-45A2-AB28-41AA8739BE13}">
    <text>= Average Balance / ABS(COGS) * 365
Calculate based off of historical values, and then use this to project future periods (by inverting the formula).</text>
  </threadedComment>
  <threadedComment ref="D180" dT="2023-02-24T00:57:12.40" personId="{43D95365-498A-406B-8B15-B1CC91B93845}" id="{4E6C9C25-D677-4E89-A424-96BDC8DAE370}">
    <text>General Check: For mature businesses, Capex and depreciation should be reasonably close.
For Growth businesses, Capex likely to be higher.</text>
  </threadedComment>
  <threadedComment ref="D191" dT="2024-01-19T02:42:38.54" personId="{2A7C8E4F-4C6A-4F2D-A1A2-5A13BDD496D7}" id="{0277329B-D894-4E4A-9B79-7DDD20783211}">
    <text>Add the impairment charges along with amortization for companies that have large impairment. Goodwill is usually considered to have no amortization, and only impaired</text>
  </threadedComment>
  <threadedComment ref="D217" dT="2024-01-22T20:21:22.17" personId="{2A7C8E4F-4C6A-4F2D-A1A2-5A13BDD496D7}" id="{A63E2080-0A3F-480C-B3EC-E466F4842BFD}">
    <text>Enter the number you get for Sales growth CAGR</text>
  </threadedComment>
  <threadedComment ref="D225" dT="2024-01-22T20:21:43.57" personId="{2A7C8E4F-4C6A-4F2D-A1A2-5A13BDD496D7}" id="{8350ADA5-BD3A-4897-B28D-E2E4E3CA84D5}">
    <text xml:space="preserve">Enter the average COGS% of sales </text>
  </threadedComment>
  <threadedComment ref="D233" dT="2024-01-22T20:21:59.92" personId="{2A7C8E4F-4C6A-4F2D-A1A2-5A13BDD496D7}" id="{8287B55F-0CD3-45F8-A3F4-6A1325977465}">
    <text>Enter the average OPEX% of sales</text>
  </threadedComment>
</ThreadedComments>
</file>

<file path=xl/threadedComments/threadedComment3.xml><?xml version="1.0" encoding="utf-8"?>
<ThreadedComments xmlns="http://schemas.microsoft.com/office/spreadsheetml/2018/threadedcomments" xmlns:x="http://schemas.openxmlformats.org/spreadsheetml/2006/main">
  <threadedComment ref="L27" dT="2023-01-07T23:42:42.80" personId="{C94DAA81-B367-4C05-B510-FCF9EA669F97}" id="{ABFD7733-55D4-42D2-B0E0-55D0AEA37538}">
    <text>Use to test impact of different WACC rates.</text>
  </threadedComment>
</ThreadedComments>
</file>

<file path=xl/threadedComments/threadedComment4.xml><?xml version="1.0" encoding="utf-8"?>
<ThreadedComments xmlns="http://schemas.microsoft.com/office/spreadsheetml/2018/threadedcomments" xmlns:x="http://schemas.openxmlformats.org/spreadsheetml/2006/main">
  <threadedComment ref="L27" dT="2023-01-07T23:42:42.80" personId="{C94DAA81-B367-4C05-B510-FCF9EA669F97}" id="{FBACC716-A198-4C71-B204-243078287F77}">
    <text>Use to test impact of different WACC rates.</text>
  </threadedComment>
  <threadedComment ref="B47" dT="2024-05-06T22:29:21.71" personId="{36910624-1466-418A-AF2F-E761FE54584C}" id="{6DF238B5-94A0-4F46-9B03-20DD2BA70741}">
    <text>This period only considers the period beyond your years of projection. For eg., if your high growth period starting today is 12 years, the input value here will be 6 years.</text>
  </threadedComment>
</ThreadedComments>
</file>

<file path=xl/threadedComments/threadedComment5.xml><?xml version="1.0" encoding="utf-8"?>
<ThreadedComments xmlns="http://schemas.microsoft.com/office/spreadsheetml/2018/threadedcomments" xmlns:x="http://schemas.openxmlformats.org/spreadsheetml/2006/main">
  <threadedComment ref="B3" dT="2024-05-06T05:54:49.22" personId="{2A7C8E4F-4C6A-4F2D-A1A2-5A13BDD496D7}" id="{60C1D248-35F2-4A70-BA7D-96760D3105FA}">
    <text>You can use EV/Revenue too</text>
  </threadedComment>
  <threadedComment ref="A20" dT="2024-05-06T05:49:05.71" personId="{2A7C8E4F-4C6A-4F2D-A1A2-5A13BDD496D7}" id="{2A52C68E-12D2-4EA6-9EF3-7FB0C494FA70}">
    <text xml:space="preserve">Use this as the forward price if you use this as a comparable
</text>
  </threadedComment>
</ThreadedComment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forensiceconomics.com/wp-content/uploads/2013/09/Effect-of-Liquidity-on-Size-Premium.pdf" TargetMode="External"/><Relationship Id="rId7" Type="http://schemas.microsoft.com/office/2017/10/relationships/threadedComment" Target="../threadedComments/threadedComment1.xml"/><Relationship Id="rId2" Type="http://schemas.openxmlformats.org/officeDocument/2006/relationships/hyperlink" Target="http://pages.stern.nyu.edu/~adamodar/New_Home_Page/datafile/Betas.html" TargetMode="External"/><Relationship Id="rId1" Type="http://schemas.openxmlformats.org/officeDocument/2006/relationships/hyperlink" Target="http://pages.stern.nyu.edu/~adamodar/New_Home_Page/datafile/ctryprem.html"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hyperlink" Target="http://pages.stern.nyu.edu/~adamodar/New_Home_Page/datafile/ctryprem.html"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table" Target="../tables/table1.xml"/><Relationship Id="rId1" Type="http://schemas.openxmlformats.org/officeDocument/2006/relationships/vmlDrawing" Target="../drawings/vmlDrawing8.vml"/><Relationship Id="rId4" Type="http://schemas.microsoft.com/office/2017/10/relationships/threadedComment" Target="../threadedComments/threadedComment5.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507B1-1BCD-4CEE-A385-E9AB2812D1E0}">
  <sheetPr>
    <tabColor theme="1"/>
  </sheetPr>
  <dimension ref="A1:G20"/>
  <sheetViews>
    <sheetView showGridLines="0" workbookViewId="0">
      <selection activeCell="B8" sqref="B8"/>
    </sheetView>
  </sheetViews>
  <sheetFormatPr defaultColWidth="8.85546875" defaultRowHeight="14.45"/>
  <sheetData>
    <row r="1" spans="1:4" ht="18">
      <c r="A1" s="403" t="s">
        <v>0</v>
      </c>
    </row>
    <row r="2" spans="1:4" ht="6" customHeight="1"/>
    <row r="3" spans="1:4">
      <c r="A3" s="421" t="s">
        <v>1</v>
      </c>
      <c r="B3" s="421" t="s">
        <v>2</v>
      </c>
    </row>
    <row r="4" spans="1:4">
      <c r="A4" s="421" t="s">
        <v>3</v>
      </c>
      <c r="B4" s="421" t="s">
        <v>4</v>
      </c>
    </row>
    <row r="5" spans="1:4">
      <c r="B5" s="416" t="s">
        <v>5</v>
      </c>
    </row>
    <row r="6" spans="1:4">
      <c r="B6" s="417" t="s">
        <v>6</v>
      </c>
    </row>
    <row r="7" spans="1:4">
      <c r="B7" s="418" t="s">
        <v>7</v>
      </c>
    </row>
    <row r="8" spans="1:4">
      <c r="B8" s="419" t="s">
        <v>8</v>
      </c>
    </row>
    <row r="9" spans="1:4">
      <c r="B9" s="420" t="s">
        <v>9</v>
      </c>
      <c r="C9" s="404"/>
      <c r="D9" s="404"/>
    </row>
    <row r="18" spans="1:7">
      <c r="A18" s="409" t="s">
        <v>10</v>
      </c>
      <c r="B18" s="410"/>
      <c r="C18" s="410"/>
      <c r="D18" s="410"/>
      <c r="E18" s="410"/>
      <c r="F18" s="410"/>
      <c r="G18" s="410"/>
    </row>
    <row r="19" spans="1:7">
      <c r="A19" s="411" t="s">
        <v>11</v>
      </c>
    </row>
    <row r="20" spans="1:7">
      <c r="A20" s="412" t="s">
        <v>12</v>
      </c>
      <c r="B20" s="413"/>
      <c r="C20" s="413"/>
      <c r="D20" s="413"/>
      <c r="E20" s="413"/>
      <c r="F20" s="413"/>
      <c r="G20" s="41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149AF-41FF-470D-8E65-9BB5B7D9B6CE}">
  <dimension ref="A1"/>
  <sheetViews>
    <sheetView workbookViewId="0"/>
  </sheetViews>
  <sheetFormatPr defaultColWidth="8.85546875" defaultRowHeight="14.45"/>
  <sheetData>
    <row r="1" spans="1:1">
      <c r="A1" t="s">
        <v>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50F5E-0263-43FA-9A49-BC47D00A981B}">
  <sheetPr>
    <tabColor theme="3"/>
  </sheetPr>
  <dimension ref="B1:L37"/>
  <sheetViews>
    <sheetView showGridLines="0" tabSelected="1" view="pageBreakPreview" topLeftCell="A9" zoomScale="135" zoomScaleNormal="100" zoomScaleSheetLayoutView="170" workbookViewId="0">
      <selection activeCell="J32" sqref="J32"/>
    </sheetView>
  </sheetViews>
  <sheetFormatPr defaultColWidth="8.85546875" defaultRowHeight="14.45"/>
  <cols>
    <col min="1" max="1" width="1.140625" customWidth="1"/>
    <col min="2" max="2" width="2.42578125" customWidth="1"/>
    <col min="3" max="3" width="38" bestFit="1" customWidth="1"/>
    <col min="5" max="7" width="10.42578125" customWidth="1"/>
    <col min="8" max="8" width="9.85546875" bestFit="1" customWidth="1"/>
    <col min="9" max="9" width="4.42578125" customWidth="1"/>
    <col min="10" max="10" width="16.42578125" customWidth="1"/>
    <col min="13" max="13" width="3.42578125" customWidth="1"/>
    <col min="14" max="14" width="20.140625" customWidth="1"/>
    <col min="15" max="15" width="17.42578125" customWidth="1"/>
    <col min="16" max="16" width="13.42578125" customWidth="1"/>
  </cols>
  <sheetData>
    <row r="1" spans="2:12" ht="11.1" customHeight="1">
      <c r="B1" s="155"/>
      <c r="C1" s="156"/>
      <c r="D1" s="156"/>
      <c r="E1" s="156"/>
      <c r="F1" s="126"/>
      <c r="G1" s="126"/>
      <c r="H1" s="126"/>
      <c r="I1" s="126"/>
      <c r="J1" s="126"/>
      <c r="K1" s="126"/>
      <c r="L1" s="126"/>
    </row>
    <row r="2" spans="2:12" ht="9" customHeight="1">
      <c r="B2" s="127"/>
      <c r="C2" s="127"/>
      <c r="D2" s="127"/>
      <c r="E2" s="127"/>
      <c r="F2" s="127"/>
      <c r="G2" s="127"/>
      <c r="H2" s="127"/>
      <c r="I2" s="127"/>
      <c r="J2" s="127"/>
      <c r="K2" s="127"/>
      <c r="L2" s="127"/>
    </row>
    <row r="3" spans="2:12" ht="38.450000000000003" customHeight="1">
      <c r="B3" s="128"/>
      <c r="C3" s="262" t="str">
        <f>Comp_Name</f>
        <v>Nu Scale</v>
      </c>
      <c r="D3" s="177" t="s">
        <v>14</v>
      </c>
      <c r="E3" s="128"/>
      <c r="F3" s="128"/>
      <c r="G3" s="128"/>
      <c r="H3" s="128"/>
      <c r="I3" s="128"/>
      <c r="J3" s="128"/>
      <c r="K3" s="128"/>
      <c r="L3" s="128"/>
    </row>
    <row r="4" spans="2:12" ht="9" customHeight="1">
      <c r="B4" s="129"/>
      <c r="C4" s="129"/>
      <c r="D4" s="129"/>
      <c r="E4" s="129"/>
      <c r="F4" s="129"/>
      <c r="G4" s="129"/>
      <c r="H4" s="129"/>
      <c r="I4" s="129"/>
      <c r="J4" s="129"/>
      <c r="K4" s="129"/>
      <c r="L4" s="129"/>
    </row>
    <row r="5" spans="2:12" ht="6" customHeight="1">
      <c r="B5" s="155"/>
      <c r="C5" s="156"/>
      <c r="D5" s="156"/>
      <c r="E5" s="156"/>
      <c r="F5" s="126"/>
      <c r="G5" s="126"/>
      <c r="H5" s="126"/>
      <c r="I5" s="126"/>
      <c r="J5" s="126"/>
      <c r="K5" s="126"/>
      <c r="L5" s="126"/>
    </row>
    <row r="6" spans="2:12" ht="15.6">
      <c r="B6" s="130"/>
      <c r="C6" s="131"/>
      <c r="D6" s="131"/>
      <c r="E6" s="131"/>
      <c r="F6" s="132"/>
      <c r="G6" s="132"/>
      <c r="H6" s="132"/>
      <c r="I6" s="132"/>
      <c r="J6" s="132"/>
      <c r="K6" s="133"/>
      <c r="L6" s="133"/>
    </row>
    <row r="7" spans="2:12">
      <c r="B7" s="134"/>
      <c r="C7" s="135"/>
      <c r="D7" s="135"/>
      <c r="E7" s="136"/>
      <c r="F7" s="135"/>
      <c r="G7" s="135"/>
      <c r="H7" s="135"/>
      <c r="I7" s="135"/>
      <c r="J7" s="135"/>
      <c r="K7" s="137"/>
      <c r="L7" s="137"/>
    </row>
    <row r="8" spans="2:12">
      <c r="B8" s="134"/>
      <c r="C8" s="135"/>
      <c r="D8" s="135"/>
      <c r="E8" s="136"/>
      <c r="F8" s="135"/>
      <c r="G8" s="135"/>
      <c r="H8" s="135"/>
      <c r="I8" s="135"/>
      <c r="J8" s="135"/>
      <c r="K8" s="137"/>
      <c r="L8" s="137"/>
    </row>
    <row r="9" spans="2:12">
      <c r="B9" s="134"/>
      <c r="C9" s="135"/>
      <c r="D9" s="135"/>
      <c r="E9" s="136"/>
      <c r="F9" s="135"/>
      <c r="G9" s="135"/>
      <c r="H9" s="135"/>
      <c r="I9" s="135"/>
      <c r="J9" s="135"/>
      <c r="K9" s="137"/>
      <c r="L9" s="137"/>
    </row>
    <row r="10" spans="2:12">
      <c r="B10" s="134"/>
      <c r="C10" s="135"/>
      <c r="D10" s="135"/>
      <c r="E10" s="136"/>
      <c r="F10" s="135"/>
      <c r="G10" s="135"/>
      <c r="H10" s="135"/>
      <c r="I10" s="135"/>
      <c r="J10" s="135"/>
      <c r="K10" s="137"/>
      <c r="L10" s="137"/>
    </row>
    <row r="11" spans="2:12">
      <c r="B11" s="134"/>
      <c r="C11" s="135"/>
      <c r="D11" s="135"/>
      <c r="E11" s="136"/>
      <c r="F11" s="135"/>
      <c r="G11" s="135"/>
      <c r="H11" s="135"/>
      <c r="I11" s="135"/>
      <c r="J11" s="135"/>
      <c r="K11" s="137"/>
      <c r="L11" s="137"/>
    </row>
    <row r="12" spans="2:12">
      <c r="B12" s="134"/>
      <c r="C12" s="135"/>
      <c r="D12" s="135"/>
      <c r="E12" s="136"/>
      <c r="F12" s="135"/>
      <c r="G12" s="135"/>
      <c r="H12" s="135"/>
      <c r="I12" s="135"/>
      <c r="J12" s="135"/>
      <c r="K12" s="137"/>
      <c r="L12" s="137"/>
    </row>
    <row r="13" spans="2:12">
      <c r="B13" s="134"/>
      <c r="C13" s="135"/>
      <c r="D13" s="135"/>
      <c r="E13" s="136"/>
      <c r="F13" s="135"/>
      <c r="G13" s="135"/>
      <c r="H13" s="135"/>
      <c r="I13" s="135"/>
      <c r="J13" s="135"/>
      <c r="K13" s="137"/>
      <c r="L13" s="137"/>
    </row>
    <row r="14" spans="2:12">
      <c r="B14" s="134"/>
      <c r="C14" s="135"/>
      <c r="D14" s="135"/>
      <c r="E14" s="136"/>
      <c r="F14" s="135"/>
      <c r="G14" s="135"/>
      <c r="H14" s="135"/>
      <c r="I14" s="135"/>
      <c r="J14" s="135"/>
      <c r="K14" s="137"/>
      <c r="L14" s="137"/>
    </row>
    <row r="15" spans="2:12">
      <c r="B15" s="134"/>
      <c r="C15" s="135"/>
      <c r="D15" s="135"/>
      <c r="E15" s="136"/>
      <c r="F15" s="135"/>
      <c r="G15" s="135"/>
      <c r="H15" s="135"/>
      <c r="I15" s="135"/>
      <c r="J15" s="135"/>
      <c r="K15" s="137"/>
      <c r="L15" s="137"/>
    </row>
    <row r="16" spans="2:12">
      <c r="B16" s="134"/>
      <c r="C16" s="135"/>
      <c r="D16" s="135"/>
      <c r="E16" s="136"/>
      <c r="F16" s="135"/>
      <c r="G16" s="135"/>
      <c r="H16" s="135"/>
      <c r="I16" s="135"/>
      <c r="J16" s="135"/>
      <c r="K16" s="137"/>
      <c r="L16" s="137"/>
    </row>
    <row r="17" spans="2:12">
      <c r="B17" s="134"/>
      <c r="C17" s="135"/>
      <c r="D17" s="135"/>
      <c r="E17" s="136"/>
      <c r="F17" s="135"/>
      <c r="G17" s="135"/>
      <c r="H17" s="135"/>
      <c r="I17" s="135"/>
      <c r="J17" s="135"/>
      <c r="K17" s="137"/>
      <c r="L17" s="137"/>
    </row>
    <row r="18" spans="2:12" ht="26.45" customHeight="1">
      <c r="B18" s="134"/>
      <c r="C18" s="135"/>
      <c r="D18" s="135"/>
      <c r="E18" s="136"/>
      <c r="F18" s="135"/>
      <c r="G18" s="135"/>
      <c r="H18" s="135"/>
      <c r="I18" s="135"/>
      <c r="J18" s="135"/>
      <c r="K18" s="137"/>
      <c r="L18" s="137"/>
    </row>
    <row r="19" spans="2:12" ht="15.6">
      <c r="B19" s="130" t="s">
        <v>15</v>
      </c>
      <c r="C19" s="131"/>
      <c r="D19" s="131"/>
      <c r="E19" s="131"/>
      <c r="F19" s="132"/>
      <c r="G19" s="132"/>
      <c r="H19" s="132"/>
      <c r="I19" s="132"/>
      <c r="J19" s="132"/>
      <c r="K19" s="133"/>
      <c r="L19" s="133"/>
    </row>
    <row r="20" spans="2:12">
      <c r="B20" s="134"/>
      <c r="C20" s="135"/>
      <c r="D20" s="135"/>
      <c r="E20" s="136"/>
      <c r="F20" s="135"/>
      <c r="G20" s="135"/>
      <c r="H20" s="135"/>
      <c r="I20" s="135"/>
      <c r="J20" s="135"/>
      <c r="K20" s="137"/>
      <c r="L20" s="137"/>
    </row>
    <row r="21" spans="2:12">
      <c r="B21" s="138" t="s">
        <v>16</v>
      </c>
      <c r="C21" s="138"/>
      <c r="D21" s="138"/>
      <c r="E21" s="192" t="s">
        <v>17</v>
      </c>
      <c r="F21" s="193" t="s">
        <v>18</v>
      </c>
      <c r="G21" s="194" t="s">
        <v>19</v>
      </c>
      <c r="H21" s="195" t="s">
        <v>20</v>
      </c>
      <c r="I21" s="135"/>
      <c r="J21" s="180" t="s">
        <v>21</v>
      </c>
      <c r="K21" s="446">
        <f ca="1">DCF!$E$31</f>
        <v>46022</v>
      </c>
      <c r="L21" s="196" t="s">
        <v>22</v>
      </c>
    </row>
    <row r="22" spans="2:12">
      <c r="B22" s="139" t="s">
        <v>23</v>
      </c>
      <c r="C22" s="140"/>
      <c r="D22" s="141"/>
      <c r="E22" s="142">
        <f ca="1">IFERROR(F22*0.9,"--")</f>
        <v>126.62037239524021</v>
      </c>
      <c r="F22" s="199">
        <f ca="1">'DCF (H-Model for TV)'!DCF_Equity_Value_PerShare</f>
        <v>140.68930266137801</v>
      </c>
      <c r="G22" s="142">
        <f ca="1">IFERROR(F22*1.1,"--")</f>
        <v>154.75823292751582</v>
      </c>
      <c r="H22" s="191">
        <v>0.15</v>
      </c>
      <c r="I22" s="137"/>
      <c r="J22" s="181" t="s">
        <v>24</v>
      </c>
      <c r="K22" s="143">
        <f ca="1">INDEX(Financials!$11:$11,MATCH(K$21,Financials!$6:$6,0))*Scaler/(10^9)</f>
        <v>5.1862999999999999E-2</v>
      </c>
      <c r="L22" s="197">
        <f ca="1">K22/Shares_Out*(10^9)/Scaler</f>
        <v>0.38735529165733062</v>
      </c>
    </row>
    <row r="23" spans="2:12" ht="15">
      <c r="B23" s="178" t="s">
        <v>25</v>
      </c>
      <c r="C23" s="144"/>
      <c r="D23" s="137"/>
      <c r="E23" s="142">
        <f t="shared" ref="E23" ca="1" si="0">IFERROR(F23*0.9,"--")</f>
        <v>38.95143517747379</v>
      </c>
      <c r="F23" s="200">
        <f ca="1">IFERROR('EV-Sales Multiples'!$D$36,"--")</f>
        <v>43.279372419415324</v>
      </c>
      <c r="G23" s="142">
        <f t="shared" ref="G23" ca="1" si="1">IFERROR(F23*1.1,"--")</f>
        <v>47.607309661356858</v>
      </c>
      <c r="H23" s="191">
        <v>0.45</v>
      </c>
      <c r="I23" s="137"/>
      <c r="J23" s="182" t="s">
        <v>26</v>
      </c>
      <c r="K23" s="143">
        <f ca="1">INDEX(Financials!$17:$17,MATCH(K$21,Financials!$6:$6,0))*Scaler/(10^9)</f>
        <v>4.1490399999999997E-2</v>
      </c>
      <c r="L23" s="197">
        <f ca="1">K23/Shares_Out*(10^9)/Scaler</f>
        <v>0.30988423332586451</v>
      </c>
    </row>
    <row r="24" spans="2:12" ht="15">
      <c r="B24" s="178" t="s">
        <v>27</v>
      </c>
      <c r="C24" s="144"/>
      <c r="D24" s="137"/>
      <c r="E24" s="142">
        <f t="shared" ref="E24" ca="1" si="2">IFERROR(F24*0.9,"--")</f>
        <v>35.082823399216018</v>
      </c>
      <c r="F24" s="200">
        <f ca="1">IFERROR('Market Cap-Sales Multiples'!D36,"--")</f>
        <v>38.9809148880178</v>
      </c>
      <c r="G24" s="142">
        <f t="shared" ref="G24" ca="1" si="3">IFERROR(F24*1.1,"--")</f>
        <v>42.879006376819582</v>
      </c>
      <c r="H24" s="191">
        <v>0.4</v>
      </c>
      <c r="I24" s="137"/>
      <c r="J24" s="182" t="s">
        <v>28</v>
      </c>
      <c r="K24" s="143">
        <f ca="1">INDEX(Financials!$24:$24,MATCH(K$21,Financials!$6:$6,0))*Scaler/(10^9)</f>
        <v>-0.13743694999999997</v>
      </c>
      <c r="L24" s="197">
        <f ca="1">K24/Shares_Out*(10^9)/Scaler</f>
        <v>-1.026491522891926</v>
      </c>
    </row>
    <row r="25" spans="2:12" ht="15">
      <c r="B25" s="146" t="s">
        <v>29</v>
      </c>
      <c r="C25" s="147"/>
      <c r="D25" s="147"/>
      <c r="E25" s="201">
        <f ca="1">SUMPRODUCT(E22:E24,$H$22:$H$24)</f>
        <v>50.554331048835643</v>
      </c>
      <c r="F25" s="148">
        <f ca="1">SUMPRODUCT(F22:F24,$H$22:$H$24)</f>
        <v>56.171478943150717</v>
      </c>
      <c r="G25" s="201">
        <f ca="1">SUMPRODUCT(G22:G24,$H$22:$H$24)</f>
        <v>61.788626837465799</v>
      </c>
      <c r="H25" s="149">
        <f>SUM(H22:H24)</f>
        <v>1</v>
      </c>
      <c r="I25" s="145"/>
      <c r="J25" s="182" t="s">
        <v>30</v>
      </c>
      <c r="K25" s="143">
        <f ca="1">INDEX(Financials!$40:$40,MATCH(K$21,Financials!$6:$6,0))*Scaler/(10^9)</f>
        <v>-0.13743694999999997</v>
      </c>
      <c r="L25" s="197">
        <f ca="1">K25/Shares_Out*(10^9)/Scaler</f>
        <v>-1.026491522891926</v>
      </c>
    </row>
    <row r="26" spans="2:12" ht="15">
      <c r="B26" s="264"/>
      <c r="C26" s="264"/>
      <c r="D26" s="264"/>
      <c r="E26" s="264"/>
      <c r="F26" s="264"/>
      <c r="G26" s="264"/>
      <c r="H26" s="264"/>
      <c r="I26" s="264"/>
      <c r="J26" s="264"/>
      <c r="K26" s="264"/>
      <c r="L26" s="264"/>
    </row>
    <row r="27" spans="2:12" ht="15">
      <c r="B27" s="265" t="s">
        <v>31</v>
      </c>
      <c r="C27" s="265"/>
      <c r="D27" s="265"/>
      <c r="E27" s="265"/>
      <c r="F27" s="266">
        <f ca="1">Current_Price</f>
        <v>44.25</v>
      </c>
      <c r="G27" s="265"/>
      <c r="H27" s="265"/>
      <c r="I27" s="264"/>
      <c r="J27" s="264"/>
      <c r="K27" s="264"/>
      <c r="L27" s="264"/>
    </row>
    <row r="28" spans="2:12" ht="15">
      <c r="B28" s="267" t="s">
        <v>32</v>
      </c>
      <c r="C28" s="267"/>
      <c r="D28" s="267"/>
      <c r="E28" s="267"/>
      <c r="F28" s="268">
        <f ca="1">F25/F27-1</f>
        <v>0.26941195351753033</v>
      </c>
      <c r="G28" s="267"/>
      <c r="H28" s="267"/>
      <c r="I28" s="264"/>
      <c r="J28" s="179"/>
      <c r="K28" s="179"/>
      <c r="L28" s="179"/>
    </row>
    <row r="29" spans="2:12" ht="15">
      <c r="B29" s="269" t="s">
        <v>33</v>
      </c>
      <c r="C29" s="269"/>
      <c r="D29" s="269"/>
      <c r="E29" s="269"/>
      <c r="F29" s="270">
        <f ca="1">F28-Cost_of_Equity</f>
        <v>9.5207953517530308E-2</v>
      </c>
      <c r="G29" s="269"/>
      <c r="H29" s="269"/>
      <c r="I29" s="179"/>
      <c r="J29" s="179"/>
      <c r="K29" s="179"/>
      <c r="L29" s="179"/>
    </row>
    <row r="30" spans="2:12" ht="15">
      <c r="B30" s="190"/>
      <c r="C30" s="190"/>
      <c r="D30" s="190"/>
      <c r="E30" s="190"/>
      <c r="F30" s="190"/>
      <c r="G30" s="190"/>
      <c r="H30" s="190"/>
    </row>
    <row r="31" spans="2:12" ht="15.75">
      <c r="B31" s="150" t="s">
        <v>34</v>
      </c>
      <c r="C31" s="151"/>
      <c r="D31" s="151"/>
      <c r="E31" s="151"/>
      <c r="F31" s="152"/>
      <c r="G31" s="152"/>
      <c r="H31" s="152"/>
    </row>
    <row r="32" spans="2:12" ht="15">
      <c r="B32" s="153"/>
      <c r="C32" s="154"/>
      <c r="D32" s="159" t="s">
        <v>35</v>
      </c>
      <c r="E32" s="159" t="s">
        <v>18</v>
      </c>
      <c r="F32" s="261" t="s">
        <v>36</v>
      </c>
      <c r="G32" s="159" t="s">
        <v>37</v>
      </c>
      <c r="H32" s="159" t="s">
        <v>38</v>
      </c>
    </row>
    <row r="33" spans="2:8" ht="15">
      <c r="B33" s="271" t="str">
        <f>B22&amp;" "&amp;TEXT(H22,"(0%)")</f>
        <v>Discounted Cash Flow (Exit Multiple) (15%)</v>
      </c>
      <c r="C33" s="154"/>
      <c r="D33" s="158">
        <f ca="1">E22</f>
        <v>126.62037239524021</v>
      </c>
      <c r="E33" s="158">
        <f ca="1">IFERROR(F22-D33,"NA")</f>
        <v>14.068930266137798</v>
      </c>
      <c r="F33" s="259">
        <f ca="1">0.025*$F$25</f>
        <v>1.404286973578768</v>
      </c>
      <c r="G33" s="158">
        <f ca="1">IFERROR(G22-D33-E33-F33,"NA")</f>
        <v>12.664643292559044</v>
      </c>
      <c r="H33" s="158">
        <f t="shared" ref="H33:H36" ca="1" si="4">$F$25</f>
        <v>56.171478943150717</v>
      </c>
    </row>
    <row r="34" spans="2:8" ht="15">
      <c r="B34" s="271" t="e">
        <f>#REF!&amp;" "&amp;TEXT(#REF!,"(0%)")</f>
        <v>#REF!</v>
      </c>
      <c r="C34" s="154"/>
      <c r="D34" s="158" t="e">
        <f>#REF!</f>
        <v>#REF!</v>
      </c>
      <c r="E34" s="158" t="str">
        <f>IFERROR(#REF!-D34,"NA")</f>
        <v>NA</v>
      </c>
      <c r="F34" s="260">
        <f t="shared" ref="F34:F36" ca="1" si="5">F$33</f>
        <v>1.404286973578768</v>
      </c>
      <c r="G34" s="158" t="str">
        <f ca="1">IFERROR(#REF!-D34-E34-F34,"NA")</f>
        <v>NA</v>
      </c>
      <c r="H34" s="158">
        <f t="shared" ca="1" si="4"/>
        <v>56.171478943150717</v>
      </c>
    </row>
    <row r="35" spans="2:8" ht="15">
      <c r="B35" s="271" t="str">
        <f>B23&amp;" "&amp;TEXT(H23,"(0%)")</f>
        <v>Market Multiples: EV to Sales (45%)</v>
      </c>
      <c r="C35" s="154"/>
      <c r="D35" s="158">
        <f ca="1">E23</f>
        <v>38.95143517747379</v>
      </c>
      <c r="E35" s="158">
        <f ca="1">IFERROR(F23-D35,"NA")</f>
        <v>4.3279372419415338</v>
      </c>
      <c r="F35" s="260">
        <f t="shared" ca="1" si="5"/>
        <v>1.404286973578768</v>
      </c>
      <c r="G35" s="158">
        <f ca="1">IFERROR(G23-D35-E35-F35,"NA")</f>
        <v>2.9236502683627661</v>
      </c>
      <c r="H35" s="158">
        <f t="shared" ca="1" si="4"/>
        <v>56.171478943150717</v>
      </c>
    </row>
    <row r="36" spans="2:8" ht="15">
      <c r="B36" s="271" t="str">
        <f>B24&amp;" "&amp;TEXT(H24,"(0%)")</f>
        <v>Market Multiples: Market Cap to Sales (40%)</v>
      </c>
      <c r="C36" s="154"/>
      <c r="D36" s="158">
        <f ca="1">E24</f>
        <v>35.082823399216018</v>
      </c>
      <c r="E36" s="158">
        <f ca="1">IFERROR(F24-D36,"NA")</f>
        <v>3.8980914888017821</v>
      </c>
      <c r="F36" s="260">
        <f t="shared" ca="1" si="5"/>
        <v>1.404286973578768</v>
      </c>
      <c r="G36" s="158">
        <f ca="1">IFERROR(G24-D36-E36-F36,"NA")</f>
        <v>2.4938045152230144</v>
      </c>
      <c r="H36" s="158">
        <f t="shared" ca="1" si="4"/>
        <v>56.171478943150717</v>
      </c>
    </row>
    <row r="37" spans="2:8" ht="15"/>
  </sheetData>
  <pageMargins left="0.7" right="0.7" top="0.75" bottom="0.75" header="0.3" footer="0.3"/>
  <pageSetup orientation="landscape"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17B5F-297A-4CE8-A6A5-86128020376A}">
  <sheetPr>
    <tabColor rgb="FFFFFFCC"/>
  </sheetPr>
  <dimension ref="A1:F39"/>
  <sheetViews>
    <sheetView showGridLines="0" topLeftCell="A12" zoomScale="136" zoomScaleNormal="170" workbookViewId="0">
      <selection activeCell="B19" sqref="B19"/>
    </sheetView>
  </sheetViews>
  <sheetFormatPr defaultColWidth="9.140625" defaultRowHeight="13.9"/>
  <cols>
    <col min="1" max="1" width="26.42578125" style="272" bestFit="1" customWidth="1"/>
    <col min="2" max="2" width="19.42578125" style="272" bestFit="1" customWidth="1"/>
    <col min="3" max="3" width="16" style="272" bestFit="1" customWidth="1"/>
    <col min="4" max="4" width="12" style="272" bestFit="1" customWidth="1"/>
    <col min="5" max="8" width="9.140625" style="272"/>
    <col min="9" max="9" width="9.42578125" style="272" bestFit="1" customWidth="1"/>
    <col min="10" max="16384" width="9.140625" style="272"/>
  </cols>
  <sheetData>
    <row r="1" spans="1:6">
      <c r="A1" s="331" t="s">
        <v>39</v>
      </c>
      <c r="B1" s="332"/>
      <c r="C1" s="332"/>
      <c r="D1" s="332"/>
      <c r="E1" s="332"/>
      <c r="F1" s="332"/>
    </row>
    <row r="2" spans="1:6">
      <c r="A2" s="390" t="s">
        <v>40</v>
      </c>
      <c r="B2" s="389" t="s">
        <v>41</v>
      </c>
      <c r="C2" s="358"/>
      <c r="D2" s="358"/>
      <c r="E2" s="358"/>
      <c r="F2" s="358"/>
    </row>
    <row r="3" spans="1:6">
      <c r="A3" s="390" t="s">
        <v>42</v>
      </c>
      <c r="B3" s="388" t="e" vm="1">
        <v>#VALUE!</v>
      </c>
      <c r="C3" s="359"/>
      <c r="D3" s="358"/>
      <c r="E3" s="358"/>
      <c r="F3" s="358"/>
    </row>
    <row r="4" spans="1:6">
      <c r="A4" s="390" t="s">
        <v>43</v>
      </c>
      <c r="B4" s="333" cm="1">
        <f t="array" aca="1" ref="B4" ca="1">_FV(B3,"Price")</f>
        <v>44.25</v>
      </c>
      <c r="C4" s="358"/>
      <c r="D4" s="358"/>
      <c r="E4" s="358"/>
      <c r="F4" s="358"/>
    </row>
    <row r="5" spans="1:6">
      <c r="A5" s="390" t="s">
        <v>44</v>
      </c>
      <c r="B5" s="334" t="s">
        <v>45</v>
      </c>
      <c r="C5" s="358"/>
      <c r="D5" s="358"/>
      <c r="E5" s="358"/>
      <c r="F5" s="358"/>
    </row>
    <row r="6" spans="1:6">
      <c r="A6" s="390" t="s">
        <v>46</v>
      </c>
      <c r="B6" s="335" t="s">
        <v>47</v>
      </c>
      <c r="C6" s="391">
        <f>IF(B6="",1,IF(B6="Thousands",(10^3),IF(B6="Millions",(10^6),IF(B6="Billions",(10^9)))))</f>
        <v>1000</v>
      </c>
      <c r="D6" s="391" t="str">
        <f>IF(B6="","Actual",IF(B6="Thousands","K",IF(B6="Millions","M",IF(B6="Billions","B"))))</f>
        <v>K</v>
      </c>
      <c r="E6" s="360" t="s">
        <v>48</v>
      </c>
      <c r="F6" s="358"/>
    </row>
    <row r="7" spans="1:6">
      <c r="A7" s="390" t="s">
        <v>49</v>
      </c>
      <c r="B7" s="336">
        <v>44560</v>
      </c>
      <c r="C7" s="358"/>
      <c r="D7" s="358"/>
      <c r="E7" s="358"/>
      <c r="F7" s="358"/>
    </row>
    <row r="8" spans="1:6" ht="21.6" customHeight="1">
      <c r="A8" s="273"/>
      <c r="B8" s="278"/>
    </row>
    <row r="9" spans="1:6">
      <c r="A9" s="337" t="s">
        <v>50</v>
      </c>
      <c r="B9" s="338"/>
      <c r="C9" s="338"/>
      <c r="D9" s="338"/>
      <c r="E9" s="338"/>
      <c r="F9" s="338"/>
    </row>
    <row r="10" spans="1:6" ht="6" customHeight="1">
      <c r="A10" s="273"/>
      <c r="B10" s="278"/>
    </row>
    <row r="11" spans="1:6">
      <c r="A11" s="347" t="s">
        <v>51</v>
      </c>
      <c r="B11" s="348"/>
      <c r="C11" s="348"/>
      <c r="D11" s="348"/>
      <c r="E11" s="348"/>
      <c r="F11" s="348"/>
    </row>
    <row r="12" spans="1:6">
      <c r="A12" s="349" t="s">
        <v>52</v>
      </c>
      <c r="B12" s="340">
        <v>4.0899999999999999E-2</v>
      </c>
      <c r="C12" s="341"/>
      <c r="D12" s="341"/>
      <c r="E12" s="341"/>
      <c r="F12" s="341"/>
    </row>
    <row r="13" spans="1:6">
      <c r="A13" s="349" t="s">
        <v>53</v>
      </c>
      <c r="B13" s="350">
        <v>1.38</v>
      </c>
      <c r="C13" s="341"/>
      <c r="D13" s="341"/>
      <c r="E13" s="341"/>
      <c r="F13" s="341"/>
    </row>
    <row r="14" spans="1:6">
      <c r="A14" s="349" t="s">
        <v>54</v>
      </c>
      <c r="B14" s="351">
        <v>0.17369999999999999</v>
      </c>
      <c r="C14" s="341"/>
      <c r="D14" s="341"/>
      <c r="E14" s="341"/>
      <c r="F14" s="341"/>
    </row>
    <row r="15" spans="1:6">
      <c r="A15" s="352" t="s">
        <v>55</v>
      </c>
      <c r="B15" s="353">
        <f>(Risk_Free_Rate*Debt_Adj_Factor)*(1-Tax_Rate)</f>
        <v>4.6638024599999994E-2</v>
      </c>
      <c r="C15" s="354"/>
      <c r="D15" s="354"/>
      <c r="E15" s="354"/>
      <c r="F15" s="354"/>
    </row>
    <row r="16" spans="1:6">
      <c r="A16" s="279"/>
    </row>
    <row r="17" spans="1:6">
      <c r="A17" s="355" t="s">
        <v>56</v>
      </c>
      <c r="B17" s="356"/>
      <c r="C17" s="357"/>
      <c r="D17" s="357"/>
      <c r="E17" s="357"/>
      <c r="F17" s="357"/>
    </row>
    <row r="18" spans="1:6">
      <c r="A18" s="339" t="s">
        <v>57</v>
      </c>
      <c r="B18" s="340">
        <v>7.0000000000000007E-2</v>
      </c>
      <c r="C18" s="341"/>
      <c r="D18" s="342" t="s">
        <v>58</v>
      </c>
      <c r="E18" s="341"/>
      <c r="F18" s="341"/>
    </row>
    <row r="19" spans="1:6">
      <c r="A19" s="343" t="s">
        <v>59</v>
      </c>
      <c r="B19" s="340">
        <v>6.0000000000000001E-3</v>
      </c>
      <c r="C19" s="341"/>
      <c r="D19" s="344" t="s">
        <v>59</v>
      </c>
      <c r="E19" s="341"/>
      <c r="F19" s="341"/>
    </row>
    <row r="20" spans="1:6">
      <c r="A20" s="343" t="s">
        <v>60</v>
      </c>
      <c r="B20" s="340">
        <v>0</v>
      </c>
      <c r="C20" s="341"/>
      <c r="D20" s="345" t="s">
        <v>60</v>
      </c>
      <c r="E20" s="341"/>
      <c r="F20" s="341"/>
    </row>
    <row r="21" spans="1:6">
      <c r="A21" s="343" t="s">
        <v>61</v>
      </c>
      <c r="B21" s="346">
        <v>1.754</v>
      </c>
      <c r="C21" s="341"/>
      <c r="D21" s="345" t="s">
        <v>62</v>
      </c>
      <c r="E21" s="341"/>
      <c r="F21" s="341"/>
    </row>
    <row r="22" spans="1:6">
      <c r="A22" s="361" t="s">
        <v>63</v>
      </c>
      <c r="B22" s="353">
        <f>(Equity_Beta*(Equity_Risk_Premium+Country_RP))+Risk_Free_Rate+Size_RP</f>
        <v>0.17420400000000003</v>
      </c>
      <c r="C22" s="362"/>
      <c r="D22" s="362"/>
      <c r="E22" s="362"/>
      <c r="F22" s="362"/>
    </row>
    <row r="23" spans="1:6">
      <c r="A23" s="279"/>
    </row>
    <row r="24" spans="1:6">
      <c r="A24" s="355" t="s">
        <v>64</v>
      </c>
      <c r="B24" s="356"/>
      <c r="C24" s="356"/>
      <c r="D24" s="356"/>
      <c r="E24" s="356"/>
      <c r="F24" s="356"/>
    </row>
    <row r="25" spans="1:6">
      <c r="A25" s="363" t="str">
        <f>"Equity Shares Outstanding ("&amp;Scale_Symbol&amp;")"</f>
        <v>Equity Shares Outstanding (K)</v>
      </c>
      <c r="B25" s="364">
        <v>133890</v>
      </c>
      <c r="C25" s="365"/>
      <c r="D25" s="365"/>
      <c r="E25" s="365"/>
      <c r="F25" s="365"/>
    </row>
    <row r="26" spans="1:6">
      <c r="A26" s="366" t="str">
        <f>"Company Capitalization ($"&amp;Scale_Symbol&amp;")"</f>
        <v>Company Capitalization ($K)</v>
      </c>
      <c r="B26" s="367"/>
      <c r="C26" s="365"/>
      <c r="D26" s="365"/>
      <c r="E26" s="365"/>
      <c r="F26" s="365"/>
    </row>
    <row r="27" spans="1:6">
      <c r="A27" s="368" t="s">
        <v>65</v>
      </c>
      <c r="B27" s="369">
        <f ca="1">Current_Price*Shares_Out</f>
        <v>5924632.5</v>
      </c>
      <c r="C27" s="370">
        <f ca="1">Equity_MV/Total_Capitalization</f>
        <v>1</v>
      </c>
      <c r="D27" s="365"/>
      <c r="E27" s="365"/>
      <c r="F27" s="365"/>
    </row>
    <row r="28" spans="1:6">
      <c r="A28" s="368" t="s">
        <v>66</v>
      </c>
      <c r="B28" s="371">
        <v>0</v>
      </c>
      <c r="C28" s="370">
        <f ca="1">Debt_MV/Total_Capitalization</f>
        <v>0</v>
      </c>
      <c r="D28" s="365"/>
      <c r="E28" s="365"/>
      <c r="F28" s="365"/>
    </row>
    <row r="29" spans="1:6">
      <c r="A29" s="363" t="s">
        <v>67</v>
      </c>
      <c r="B29" s="372">
        <f ca="1">B27+B28</f>
        <v>5924632.5</v>
      </c>
      <c r="C29" s="373">
        <f ca="1">C27+C28</f>
        <v>1</v>
      </c>
      <c r="D29" s="365"/>
      <c r="E29" s="365"/>
      <c r="F29" s="365"/>
    </row>
    <row r="30" spans="1:6">
      <c r="A30" s="374" t="s">
        <v>68</v>
      </c>
      <c r="B30" s="375"/>
      <c r="C30" s="375">
        <f ca="1">(C27*Cost_of_Equity)+(C28*Cost_of_Debt)</f>
        <v>0.17420400000000003</v>
      </c>
      <c r="D30" s="375"/>
      <c r="E30" s="375"/>
      <c r="F30" s="375"/>
    </row>
    <row r="31" spans="1:6" ht="21.6" customHeight="1">
      <c r="A31" s="273"/>
      <c r="B31" s="278"/>
    </row>
    <row r="32" spans="1:6">
      <c r="A32" s="377" t="s">
        <v>69</v>
      </c>
      <c r="B32" s="378" t="s">
        <v>70</v>
      </c>
      <c r="C32" s="378" t="s">
        <v>71</v>
      </c>
      <c r="D32" s="378" t="s">
        <v>72</v>
      </c>
      <c r="E32" s="378"/>
      <c r="F32" s="378"/>
    </row>
    <row r="33" spans="1:6">
      <c r="A33" s="379" t="s">
        <v>73</v>
      </c>
      <c r="B33" s="380">
        <v>0.02</v>
      </c>
      <c r="C33" s="381">
        <f>$B$33+C34</f>
        <v>1.4999999999999999E-2</v>
      </c>
      <c r="D33" s="381">
        <f>$B$33+D34</f>
        <v>2.5000000000000001E-2</v>
      </c>
      <c r="E33" s="365"/>
      <c r="F33" s="365"/>
    </row>
    <row r="34" spans="1:6">
      <c r="A34" s="382" t="s">
        <v>74</v>
      </c>
      <c r="B34" s="383"/>
      <c r="C34" s="384">
        <v>-5.0000000000000001E-3</v>
      </c>
      <c r="D34" s="384">
        <v>5.0000000000000001E-3</v>
      </c>
      <c r="E34" s="365"/>
      <c r="F34" s="365"/>
    </row>
    <row r="35" spans="1:6">
      <c r="A35" s="379" t="s">
        <v>75</v>
      </c>
      <c r="B35" s="381">
        <f ca="1">WACC</f>
        <v>0.17420400000000003</v>
      </c>
      <c r="C35" s="381">
        <f ca="1">$B$35+C36</f>
        <v>0.16420400000000002</v>
      </c>
      <c r="D35" s="381">
        <f ca="1">$B$35+D36</f>
        <v>0.18420400000000003</v>
      </c>
      <c r="E35" s="365"/>
      <c r="F35" s="365"/>
    </row>
    <row r="36" spans="1:6">
      <c r="A36" s="387" t="s">
        <v>76</v>
      </c>
      <c r="B36" s="385"/>
      <c r="C36" s="386">
        <v>-0.01</v>
      </c>
      <c r="D36" s="386">
        <v>0.01</v>
      </c>
      <c r="E36" s="376"/>
      <c r="F36" s="376"/>
    </row>
    <row r="38" spans="1:6">
      <c r="A38" s="274"/>
    </row>
    <row r="39" spans="1:6">
      <c r="A39" s="273"/>
      <c r="B39" s="275"/>
    </row>
  </sheetData>
  <dataValidations count="1">
    <dataValidation type="list" allowBlank="1" showInputMessage="1" showErrorMessage="1" sqref="B6" xr:uid="{36535B2F-A853-4038-921A-D651B95DA36B}">
      <formula1>"Thousands, Millions, Billions"</formula1>
    </dataValidation>
  </dataValidations>
  <hyperlinks>
    <hyperlink ref="D18" r:id="rId1" display="Risk Premium" xr:uid="{FA8FBDDA-6AA4-4A56-8516-3AD3FD19FD66}"/>
    <hyperlink ref="D21" r:id="rId2" display="LINK" xr:uid="{65C9ED4B-1E8F-409C-8AA1-F07AD9940464}"/>
    <hyperlink ref="D20" r:id="rId3" xr:uid="{B5A68D1A-93A6-48A6-A1C7-4A77D3D4279B}"/>
    <hyperlink ref="D19" r:id="rId4" display="Risk Premium" xr:uid="{CABB5AB5-5122-4AE1-8593-43DA37668C79}"/>
  </hyperlinks>
  <pageMargins left="0.7" right="0.7" top="0.75" bottom="0.75" header="0.3" footer="0.3"/>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AC572-790F-4500-98C1-066FB5539A77}">
  <sheetPr>
    <tabColor rgb="FFFFFFCC"/>
  </sheetPr>
  <dimension ref="A1:AF235"/>
  <sheetViews>
    <sheetView showGridLines="0" zoomScaleNormal="170" workbookViewId="0">
      <pane xSplit="5" ySplit="7" topLeftCell="F29" activePane="bottomRight" state="frozen"/>
      <selection pane="bottomRight" activeCell="AC39" sqref="AC39"/>
      <selection pane="bottomLeft" activeCell="A4" sqref="A4"/>
      <selection pane="topRight" activeCell="C1" sqref="C1"/>
    </sheetView>
  </sheetViews>
  <sheetFormatPr defaultColWidth="8.85546875" defaultRowHeight="12" outlineLevelCol="1"/>
  <cols>
    <col min="1" max="1" width="2.85546875" style="2" customWidth="1"/>
    <col min="2" max="2" width="7.42578125" style="2" customWidth="1" outlineLevel="1"/>
    <col min="3" max="3" width="1" style="2" customWidth="1" outlineLevel="1"/>
    <col min="4" max="4" width="27" style="2" customWidth="1"/>
    <col min="5" max="5" width="0.42578125" style="2" customWidth="1"/>
    <col min="6" max="6" width="9.28515625" style="2" customWidth="1"/>
    <col min="7" max="8" width="10.140625" style="2" customWidth="1"/>
    <col min="9" max="9" width="9.5703125" style="2" customWidth="1"/>
    <col min="10" max="12" width="9.85546875" style="2" customWidth="1"/>
    <col min="13" max="13" width="10.28515625" style="2" customWidth="1"/>
    <col min="14" max="14" width="9.42578125" style="2" customWidth="1"/>
    <col min="15" max="15" width="1.42578125" style="2" customWidth="1"/>
    <col min="16" max="16" width="8.42578125" style="2" customWidth="1"/>
    <col min="17" max="17" width="7.140625" style="2" customWidth="1"/>
    <col min="18" max="18" width="7.28515625" style="2" bestFit="1" customWidth="1"/>
    <col min="19" max="24" width="6.42578125" style="2" customWidth="1"/>
    <col min="25" max="25" width="1.42578125" style="2" customWidth="1"/>
    <col min="26" max="30" width="6.42578125" style="2" customWidth="1"/>
    <col min="31" max="31" width="15.42578125" style="2" customWidth="1"/>
    <col min="32" max="16384" width="8.85546875" style="2"/>
  </cols>
  <sheetData>
    <row r="1" spans="1:32" ht="6" customHeight="1"/>
    <row r="2" spans="1:32" ht="6" customHeight="1">
      <c r="D2" s="4"/>
      <c r="F2" s="4"/>
      <c r="G2" s="4"/>
      <c r="H2" s="4"/>
      <c r="I2" s="4"/>
      <c r="J2" s="4"/>
      <c r="K2" s="4"/>
      <c r="L2" s="4"/>
      <c r="M2" s="4"/>
      <c r="N2" s="4"/>
      <c r="P2" s="4"/>
      <c r="Q2" s="4"/>
      <c r="R2" s="4"/>
      <c r="S2" s="4"/>
      <c r="T2" s="4"/>
      <c r="U2" s="4"/>
      <c r="V2" s="4"/>
      <c r="W2" s="4"/>
      <c r="X2" s="4"/>
      <c r="Z2" s="4"/>
      <c r="AA2" s="4"/>
      <c r="AB2" s="4"/>
      <c r="AC2" s="4"/>
      <c r="AD2" s="4"/>
    </row>
    <row r="3" spans="1:32" ht="42" customHeight="1">
      <c r="D3" s="35" t="s">
        <v>77</v>
      </c>
      <c r="F3" s="401" t="s">
        <v>78</v>
      </c>
      <c r="G3" s="402"/>
      <c r="H3" s="402"/>
      <c r="I3" s="402"/>
      <c r="J3" s="401" t="s">
        <v>79</v>
      </c>
      <c r="K3" s="402"/>
      <c r="L3" s="402"/>
      <c r="M3" s="402"/>
      <c r="N3" s="402"/>
      <c r="P3" s="31" t="s">
        <v>80</v>
      </c>
      <c r="Z3" s="31" t="s">
        <v>81</v>
      </c>
    </row>
    <row r="4" spans="1:32" ht="6" customHeight="1">
      <c r="D4" s="5"/>
      <c r="F4" s="5"/>
      <c r="G4" s="5"/>
      <c r="H4" s="5"/>
      <c r="I4" s="5"/>
      <c r="J4" s="5"/>
      <c r="K4" s="5"/>
      <c r="L4" s="5"/>
      <c r="M4" s="5"/>
      <c r="N4" s="5"/>
      <c r="P4" s="5"/>
      <c r="Q4" s="5"/>
      <c r="R4" s="5"/>
      <c r="S4" s="5"/>
      <c r="T4" s="5"/>
      <c r="U4" s="5"/>
      <c r="V4" s="5"/>
      <c r="W4" s="5"/>
      <c r="X4" s="5"/>
      <c r="Z4" s="5"/>
      <c r="AA4" s="5"/>
      <c r="AB4" s="5"/>
      <c r="AC4" s="5"/>
      <c r="AD4" s="5"/>
    </row>
    <row r="5" spans="1:32" ht="6" customHeight="1"/>
    <row r="6" spans="1:32" ht="18" customHeight="1">
      <c r="A6" s="94"/>
      <c r="D6" s="1" t="s">
        <v>82</v>
      </c>
      <c r="F6" s="436">
        <f>Assumptions!$B$7</f>
        <v>44560</v>
      </c>
      <c r="G6" s="436">
        <f ca="1">EOMONTH(OFFSET(G$6,0,-1),12)</f>
        <v>44926</v>
      </c>
      <c r="H6" s="436">
        <f t="shared" ref="H6:N6" ca="1" si="0">EOMONTH(OFFSET(H$6,0,-1),12)</f>
        <v>45291</v>
      </c>
      <c r="I6" s="436">
        <f t="shared" ca="1" si="0"/>
        <v>45657</v>
      </c>
      <c r="J6" s="437">
        <f t="shared" ca="1" si="0"/>
        <v>46022</v>
      </c>
      <c r="K6" s="437">
        <f t="shared" ca="1" si="0"/>
        <v>46387</v>
      </c>
      <c r="L6" s="437">
        <f t="shared" ca="1" si="0"/>
        <v>46752</v>
      </c>
      <c r="M6" s="437">
        <f t="shared" ca="1" si="0"/>
        <v>47118</v>
      </c>
      <c r="N6" s="437">
        <f t="shared" ca="1" si="0"/>
        <v>47483</v>
      </c>
      <c r="P6" s="438" cm="1">
        <f t="array" aca="1" ref="P6:X6" ca="1">Annual_Periods</f>
        <v>44560</v>
      </c>
      <c r="Q6" s="438">
        <f ca="1"/>
        <v>44926</v>
      </c>
      <c r="R6" s="438">
        <f ca="1"/>
        <v>45291</v>
      </c>
      <c r="S6" s="438">
        <f ca="1"/>
        <v>45657</v>
      </c>
      <c r="T6" s="438">
        <f ca="1"/>
        <v>46022</v>
      </c>
      <c r="U6" s="438">
        <f ca="1"/>
        <v>46387</v>
      </c>
      <c r="V6" s="438">
        <f ca="1"/>
        <v>46752</v>
      </c>
      <c r="W6" s="438">
        <f ca="1"/>
        <v>47118</v>
      </c>
      <c r="X6" s="438">
        <f ca="1"/>
        <v>47483</v>
      </c>
      <c r="Z6" s="439" cm="1">
        <f t="array" aca="1" ref="Z6" ca="1">INDEX(Annual_Periods,MATCH("Projected",$F$3:$N$3,))</f>
        <v>46022</v>
      </c>
      <c r="AA6" s="439">
        <f t="shared" ref="AA6:AD6" ca="1" si="1">EOMONTH(OFFSET(AA$6,0,-1),12)</f>
        <v>46387</v>
      </c>
      <c r="AB6" s="439">
        <f t="shared" ca="1" si="1"/>
        <v>46752</v>
      </c>
      <c r="AC6" s="439">
        <f t="shared" ca="1" si="1"/>
        <v>47118</v>
      </c>
      <c r="AD6" s="439">
        <f t="shared" ca="1" si="1"/>
        <v>47483</v>
      </c>
    </row>
    <row r="7" spans="1:32" ht="6" customHeight="1"/>
    <row r="8" spans="1:32">
      <c r="A8" s="94" t="s">
        <v>83</v>
      </c>
      <c r="D8" s="10" t="s">
        <v>84</v>
      </c>
      <c r="F8" s="11"/>
      <c r="G8" s="11"/>
      <c r="H8" s="11"/>
      <c r="I8" s="11"/>
      <c r="J8" s="11"/>
      <c r="K8" s="11"/>
      <c r="L8" s="11"/>
      <c r="M8" s="11"/>
      <c r="N8" s="11"/>
      <c r="P8" s="11"/>
      <c r="Q8" s="11"/>
      <c r="R8" s="11"/>
      <c r="S8" s="11"/>
      <c r="T8" s="11"/>
      <c r="U8" s="11"/>
      <c r="V8" s="11"/>
      <c r="W8" s="11"/>
      <c r="X8" s="11"/>
      <c r="Z8" s="11"/>
      <c r="AA8" s="11"/>
      <c r="AB8" s="11"/>
      <c r="AC8" s="11"/>
      <c r="AD8" s="11"/>
    </row>
    <row r="9" spans="1:32">
      <c r="D9" s="19" t="s">
        <v>85</v>
      </c>
      <c r="F9" s="20"/>
      <c r="G9" s="20"/>
      <c r="H9" s="20"/>
      <c r="I9" s="20"/>
      <c r="J9" s="20"/>
      <c r="K9" s="20"/>
      <c r="L9" s="20"/>
      <c r="M9" s="20"/>
      <c r="N9" s="20"/>
      <c r="P9" s="20"/>
      <c r="Q9" s="20"/>
      <c r="R9" s="20"/>
      <c r="S9" s="20"/>
      <c r="T9" s="20"/>
      <c r="U9" s="20"/>
      <c r="V9" s="20"/>
      <c r="W9" s="20"/>
      <c r="X9" s="20"/>
      <c r="Z9" s="20"/>
      <c r="AA9" s="20"/>
      <c r="AB9" s="20"/>
      <c r="AC9" s="20"/>
      <c r="AD9" s="20"/>
    </row>
    <row r="10" spans="1:32">
      <c r="D10" s="7" t="s">
        <v>86</v>
      </c>
      <c r="F10" s="493">
        <v>2862</v>
      </c>
      <c r="G10" s="493">
        <v>11804</v>
      </c>
      <c r="H10" s="493">
        <v>22810</v>
      </c>
      <c r="I10" s="493">
        <v>37045</v>
      </c>
      <c r="J10" s="469">
        <f>I10*(1+Z10)</f>
        <v>51863</v>
      </c>
      <c r="K10" s="469">
        <f t="shared" ref="K10:N10" si="2">J10*(1+AA10)</f>
        <v>82980.800000000003</v>
      </c>
      <c r="L10" s="469">
        <f t="shared" si="2"/>
        <v>165961.60000000001</v>
      </c>
      <c r="M10" s="469">
        <f t="shared" si="2"/>
        <v>365115.52</v>
      </c>
      <c r="N10" s="469">
        <f t="shared" si="2"/>
        <v>657207.9360000001</v>
      </c>
      <c r="Z10" s="104">
        <v>0.4</v>
      </c>
      <c r="AA10" s="104">
        <v>0.6</v>
      </c>
      <c r="AB10" s="104">
        <v>1</v>
      </c>
      <c r="AC10" s="104">
        <v>1.2</v>
      </c>
      <c r="AD10" s="104">
        <v>0.8</v>
      </c>
    </row>
    <row r="11" spans="1:32" ht="12.6" thickBot="1">
      <c r="C11" s="3"/>
      <c r="D11" s="6" t="s">
        <v>87</v>
      </c>
      <c r="E11" s="3"/>
      <c r="F11" s="470">
        <f ca="1">SUBTOTAL(9,OFFSET(F9,1,0):OFFSET(F11,-1,0))</f>
        <v>2862</v>
      </c>
      <c r="G11" s="470">
        <f ca="1">SUBTOTAL(9,OFFSET(G9,1,0):OFFSET(G11,-1,0))</f>
        <v>11804</v>
      </c>
      <c r="H11" s="470">
        <f ca="1">SUBTOTAL(9,OFFSET(H9,1,0):OFFSET(H11,-1,0))</f>
        <v>22810</v>
      </c>
      <c r="I11" s="470">
        <f ca="1">SUBTOTAL(9,OFFSET(I9,1,0):OFFSET(I11,-1,0))</f>
        <v>37045</v>
      </c>
      <c r="J11" s="470">
        <f ca="1">SUBTOTAL(9,OFFSET(J9,1,0):OFFSET(J11,-1,0))</f>
        <v>51863</v>
      </c>
      <c r="K11" s="470">
        <f ca="1">SUBTOTAL(9,OFFSET(K9,1,0):OFFSET(K11,-1,0))</f>
        <v>82980.800000000003</v>
      </c>
      <c r="L11" s="470">
        <f ca="1">SUBTOTAL(9,OFFSET(L9,1,0):OFFSET(L11,-1,0))</f>
        <v>165961.60000000001</v>
      </c>
      <c r="M11" s="470">
        <f ca="1">SUBTOTAL(9,OFFSET(M9,1,0):OFFSET(M11,-1,0))</f>
        <v>365115.52</v>
      </c>
      <c r="N11" s="470">
        <f ca="1">SUBTOTAL(9,OFFSET(N9,1,0):OFFSET(N11,-1,0))</f>
        <v>657207.9360000001</v>
      </c>
      <c r="P11" s="32" cm="1">
        <f t="array" aca="1" ref="P11" ca="1">IFERROR(ABS(OFFSET($E$6,ROW()-ROW(Annual_Periods),MATCH(P$6,Annual_Periods,0)) /
OFFSET($E$11,0,MATCH(P$6,Annual_Periods,0))),"NA")</f>
        <v>1</v>
      </c>
      <c r="Q11" s="32" cm="1">
        <f t="array" aca="1" ref="Q11" ca="1">IFERROR(ABS(OFFSET($E$6,ROW()-ROW(Annual_Periods),MATCH(Q$6,Annual_Periods,0)) /
OFFSET($E$11,0,MATCH(Q$6,Annual_Periods,0))),"NA")</f>
        <v>1</v>
      </c>
      <c r="R11" s="32" cm="1">
        <f t="array" aca="1" ref="R11" ca="1">IFERROR(ABS(OFFSET($E$6,ROW()-ROW(Annual_Periods),MATCH(R$6,Annual_Periods,0)) /
OFFSET($E$11,0,MATCH(R$6,Annual_Periods,0))),"NA")</f>
        <v>1</v>
      </c>
      <c r="S11" s="32" cm="1">
        <f t="array" aca="1" ref="S11" ca="1">IFERROR(ABS(OFFSET($E$6,ROW()-ROW(Annual_Periods),MATCH(S$6,Annual_Periods,0)) /
OFFSET($E$11,0,MATCH(S$6,Annual_Periods,0))),"NA")</f>
        <v>1</v>
      </c>
      <c r="T11" s="32" cm="1">
        <f t="array" aca="1" ref="T11" ca="1">IFERROR(ABS(OFFSET($E$6,ROW()-ROW(Annual_Periods),MATCH(T$6,Annual_Periods,0)) /
OFFSET($E$11,0,MATCH(T$6,Annual_Periods,0))),"NA")</f>
        <v>1</v>
      </c>
      <c r="U11" s="32" cm="1">
        <f t="array" aca="1" ref="U11" ca="1">IFERROR(ABS(OFFSET($E$6,ROW()-ROW(Annual_Periods),MATCH(U$6,Annual_Periods,0)) /
OFFSET($E$11,0,MATCH(U$6,Annual_Periods,0))),"NA")</f>
        <v>1</v>
      </c>
      <c r="V11" s="32" cm="1">
        <f t="array" aca="1" ref="V11" ca="1">IFERROR(ABS(OFFSET($E$6,ROW()-ROW(Annual_Periods),MATCH(V$6,Annual_Periods,0)) /
OFFSET($E$11,0,MATCH(V$6,Annual_Periods,0))),"NA")</f>
        <v>1</v>
      </c>
      <c r="W11" s="32" cm="1">
        <f t="array" aca="1" ref="W11" ca="1">IFERROR(ABS(OFFSET($E$6,ROW()-ROW(Annual_Periods),MATCH(W$6,Annual_Periods,0)) /
OFFSET($E$11,0,MATCH(W$6,Annual_Periods,0))),"NA")</f>
        <v>1</v>
      </c>
      <c r="X11" s="32" cm="1">
        <f t="array" aca="1" ref="X11" ca="1">IFERROR(ABS(OFFSET($E$6,ROW()-ROW(Annual_Periods),MATCH(X$6,Annual_Periods,0)) /
OFFSET($E$11,0,MATCH(X$6,Annual_Periods,0))),"NA")</f>
        <v>1</v>
      </c>
      <c r="AE11" s="468" t="s">
        <v>88</v>
      </c>
      <c r="AF11" s="464">
        <f ca="1">(N11/I11)^(1/5) - 1</f>
        <v>0.77743873355202253</v>
      </c>
    </row>
    <row r="12" spans="1:32">
      <c r="D12" s="8" t="s">
        <v>89</v>
      </c>
      <c r="F12" s="12" t="str">
        <f ca="1">IFERROR(F11/OFFSET(F11,0,-1)-1,"NA")</f>
        <v>NA</v>
      </c>
      <c r="G12" s="12">
        <f ca="1">IFERROR(G11/OFFSET(G11,0,-1)-1,"NA")</f>
        <v>3.1243885394828794</v>
      </c>
      <c r="H12" s="12">
        <f ca="1">IFERROR(H11/OFFSET(H11,0,-1)-1,"NA")</f>
        <v>0.93239579803456452</v>
      </c>
      <c r="I12" s="12">
        <f ca="1">IFERROR(I11/OFFSET(I11,0,-1)-1,"NA")</f>
        <v>0.62406839105655409</v>
      </c>
      <c r="J12" s="12">
        <f t="shared" ref="J12:M12" ca="1" si="3">IFERROR(J11/OFFSET(J11,0,-1)-1,"NA")</f>
        <v>0.39999999999999991</v>
      </c>
      <c r="K12" s="12">
        <f t="shared" ca="1" si="3"/>
        <v>0.60000000000000009</v>
      </c>
      <c r="L12" s="12">
        <f t="shared" ca="1" si="3"/>
        <v>1</v>
      </c>
      <c r="M12" s="12">
        <f t="shared" ca="1" si="3"/>
        <v>1.2000000000000002</v>
      </c>
      <c r="N12" s="12">
        <f t="shared" ref="N12" ca="1" si="4">IFERROR(N11/OFFSET(N11,0,-1)-1,"NA")</f>
        <v>0.80000000000000027</v>
      </c>
    </row>
    <row r="14" spans="1:32">
      <c r="D14" s="21" t="s">
        <v>90</v>
      </c>
      <c r="F14" s="453"/>
      <c r="G14" s="453"/>
      <c r="H14" s="453"/>
      <c r="I14" s="453"/>
      <c r="J14" s="453"/>
      <c r="K14" s="453"/>
      <c r="L14" s="453"/>
      <c r="M14" s="453"/>
      <c r="N14" s="453"/>
      <c r="P14" s="20"/>
      <c r="Q14" s="20"/>
      <c r="R14" s="20"/>
      <c r="S14" s="20"/>
      <c r="T14" s="20"/>
      <c r="U14" s="20"/>
      <c r="V14" s="20"/>
      <c r="W14" s="20"/>
      <c r="X14" s="20"/>
      <c r="Z14" s="20"/>
      <c r="AA14" s="20"/>
      <c r="AB14" s="20"/>
      <c r="AC14" s="20"/>
      <c r="AD14" s="20"/>
    </row>
    <row r="15" spans="1:32" ht="12.6" thickBot="1">
      <c r="D15" s="7" t="s">
        <v>91</v>
      </c>
      <c r="F15" s="493">
        <v>-1770</v>
      </c>
      <c r="G15" s="493">
        <v>-7317</v>
      </c>
      <c r="H15" s="493">
        <v>-18961</v>
      </c>
      <c r="I15" s="493">
        <v>-4937</v>
      </c>
      <c r="J15" s="458">
        <f ca="1">-J$11*(Z15)</f>
        <v>-10372.6</v>
      </c>
      <c r="K15" s="458">
        <f t="shared" ref="K15:N15" ca="1" si="5">-K$11*(AA15)</f>
        <v>-20745.2</v>
      </c>
      <c r="L15" s="458">
        <f t="shared" ca="1" si="5"/>
        <v>-41490.400000000001</v>
      </c>
      <c r="M15" s="458">
        <f t="shared" ca="1" si="5"/>
        <v>-109534.656</v>
      </c>
      <c r="N15" s="458">
        <f t="shared" ca="1" si="5"/>
        <v>-230022.77760000003</v>
      </c>
      <c r="P15" s="29" cm="1">
        <f t="array" aca="1" ref="P15" ca="1">IFERROR(ABS(OFFSET($E$6,ROW()-ROW(Annual_Periods),MATCH(P$6,Annual_Periods,0)) /
OFFSET($E$11,0,MATCH(P$6,Annual_Periods,0))),"NA")</f>
        <v>0.61844863731656186</v>
      </c>
      <c r="Q15" s="29" cm="1">
        <f t="array" aca="1" ref="Q15" ca="1">IFERROR(ABS(OFFSET($E$6,ROW()-ROW(Annual_Periods),MATCH(Q$6,Annual_Periods,0)) /
OFFSET($E$11,0,MATCH(Q$6,Annual_Periods,0))),"NA")</f>
        <v>0.61987461877329719</v>
      </c>
      <c r="R15" s="29" cm="1">
        <f t="array" aca="1" ref="R15" ca="1">IFERROR(ABS(OFFSET($E$6,ROW()-ROW(Annual_Periods),MATCH(R$6,Annual_Periods,0)) /
OFFSET($E$11,0,MATCH(R$6,Annual_Periods,0))),"NA")</f>
        <v>0.83125822007891281</v>
      </c>
      <c r="S15" s="29" cm="1">
        <f t="array" aca="1" ref="S15" ca="1">IFERROR(ABS(OFFSET($E$6,ROW()-ROW(Annual_Periods),MATCH(S$6,Annual_Periods,0)) /
OFFSET($E$11,0,MATCH(S$6,Annual_Periods,0))),"NA")</f>
        <v>0.13327034687542177</v>
      </c>
      <c r="T15" s="29" cm="1">
        <f t="array" aca="1" ref="T15" ca="1">IFERROR(ABS(OFFSET($E$6,ROW()-ROW(Annual_Periods),MATCH(T$6,Annual_Periods,0)) /
OFFSET($E$11,0,MATCH(T$6,Annual_Periods,0))),"NA")</f>
        <v>0.2</v>
      </c>
      <c r="U15" s="29" cm="1">
        <f t="array" aca="1" ref="U15" ca="1">IFERROR(ABS(OFFSET($E$6,ROW()-ROW(Annual_Periods),MATCH(U$6,Annual_Periods,0)) /
OFFSET($E$11,0,MATCH(U$6,Annual_Periods,0))),"NA")</f>
        <v>0.25</v>
      </c>
      <c r="V15" s="29" cm="1">
        <f t="array" aca="1" ref="V15" ca="1">IFERROR(ABS(OFFSET($E$6,ROW()-ROW(Annual_Periods),MATCH(V$6,Annual_Periods,0)) /
OFFSET($E$11,0,MATCH(V$6,Annual_Periods,0))),"NA")</f>
        <v>0.25</v>
      </c>
      <c r="W15" s="29" cm="1">
        <f t="array" aca="1" ref="W15" ca="1">IFERROR(ABS(OFFSET($E$6,ROW()-ROW(Annual_Periods),MATCH(W$6,Annual_Periods,0)) /
OFFSET($E$11,0,MATCH(W$6,Annual_Periods,0))),"NA")</f>
        <v>0.3</v>
      </c>
      <c r="X15" s="29" cm="1">
        <f t="array" aca="1" ref="X15" ca="1">IFERROR(ABS(OFFSET($E$6,ROW()-ROW(Annual_Periods),MATCH(X$6,Annual_Periods,0)) /
OFFSET($E$11,0,MATCH(X$6,Annual_Periods,0))),"NA")</f>
        <v>0.35</v>
      </c>
      <c r="Z15" s="104">
        <v>0.2</v>
      </c>
      <c r="AA15" s="104">
        <v>0.25</v>
      </c>
      <c r="AB15" s="104">
        <v>0.25</v>
      </c>
      <c r="AC15" s="104">
        <v>0.3</v>
      </c>
      <c r="AD15" s="104">
        <v>0.35</v>
      </c>
    </row>
    <row r="16" spans="1:32" ht="12.6" thickBot="1">
      <c r="D16" s="3" t="s">
        <v>92</v>
      </c>
      <c r="F16" s="459">
        <f ca="1">SUBTOTAL(9,OFFSET(F14,1,0):OFFSET(F16,-1,0))</f>
        <v>-1770</v>
      </c>
      <c r="G16" s="459">
        <f ca="1">SUBTOTAL(9,OFFSET(G14,1,0):OFFSET(G16,-1,0))</f>
        <v>-7317</v>
      </c>
      <c r="H16" s="459">
        <f ca="1">SUBTOTAL(9,OFFSET(H14,1,0):OFFSET(H16,-1,0))</f>
        <v>-18961</v>
      </c>
      <c r="I16" s="459">
        <f ca="1">SUBTOTAL(9,OFFSET(I14,1,0):OFFSET(I16,-1,0))</f>
        <v>-4937</v>
      </c>
      <c r="J16" s="459">
        <f ca="1">SUBTOTAL(9,OFFSET(J14,1,0):OFFSET(J16,-1,0))</f>
        <v>-10372.6</v>
      </c>
      <c r="K16" s="459">
        <f ca="1">SUBTOTAL(9,OFFSET(K14,1,0):OFFSET(K16,-1,0))</f>
        <v>-20745.2</v>
      </c>
      <c r="L16" s="459">
        <f ca="1">SUBTOTAL(9,OFFSET(L14,1,0):OFFSET(L16,-1,0))</f>
        <v>-41490.400000000001</v>
      </c>
      <c r="M16" s="459">
        <f ca="1">SUBTOTAL(9,OFFSET(M14,1,0):OFFSET(M16,-1,0))</f>
        <v>-109534.656</v>
      </c>
      <c r="N16" s="459">
        <f ca="1">SUBTOTAL(9,OFFSET(N14,1,0):OFFSET(N16,-1,0))</f>
        <v>-230022.77760000003</v>
      </c>
      <c r="P16" s="30" cm="1">
        <f t="array" aca="1" ref="P16" ca="1">IFERROR(ABS(OFFSET($E$6,ROW()-ROW(Annual_Periods),MATCH(P$6,Annual_Periods,0)) /
OFFSET($E$11,0,MATCH(P$6,Annual_Periods,0))),"NA")</f>
        <v>0.61844863731656186</v>
      </c>
      <c r="Q16" s="30" cm="1">
        <f t="array" aca="1" ref="Q16" ca="1">IFERROR(ABS(OFFSET($E$6,ROW()-ROW(Annual_Periods),MATCH(Q$6,Annual_Periods,0)) /
OFFSET($E$11,0,MATCH(Q$6,Annual_Periods,0))),"NA")</f>
        <v>0.61987461877329719</v>
      </c>
      <c r="R16" s="30" cm="1">
        <f t="array" aca="1" ref="R16" ca="1">IFERROR(ABS(OFFSET($E$6,ROW()-ROW(Annual_Periods),MATCH(R$6,Annual_Periods,0)) /
OFFSET($E$11,0,MATCH(R$6,Annual_Periods,0))),"NA")</f>
        <v>0.83125822007891281</v>
      </c>
      <c r="S16" s="30" cm="1">
        <f t="array" aca="1" ref="S16" ca="1">IFERROR(ABS(OFFSET($E$6,ROW()-ROW(Annual_Periods),MATCH(S$6,Annual_Periods,0)) /
OFFSET($E$11,0,MATCH(S$6,Annual_Periods,0))),"NA")</f>
        <v>0.13327034687542177</v>
      </c>
      <c r="T16" s="30" cm="1">
        <f t="array" aca="1" ref="T16" ca="1">IFERROR(ABS(OFFSET($E$6,ROW()-ROW(Annual_Periods),MATCH(T$6,Annual_Periods,0)) /
OFFSET($E$11,0,MATCH(T$6,Annual_Periods,0))),"NA")</f>
        <v>0.2</v>
      </c>
      <c r="U16" s="30" cm="1">
        <f t="array" aca="1" ref="U16" ca="1">IFERROR(ABS(OFFSET($E$6,ROW()-ROW(Annual_Periods),MATCH(U$6,Annual_Periods,0)) /
OFFSET($E$11,0,MATCH(U$6,Annual_Periods,0))),"NA")</f>
        <v>0.25</v>
      </c>
      <c r="V16" s="30" cm="1">
        <f t="array" aca="1" ref="V16" ca="1">IFERROR(ABS(OFFSET($E$6,ROW()-ROW(Annual_Periods),MATCH(V$6,Annual_Periods,0)) /
OFFSET($E$11,0,MATCH(V$6,Annual_Periods,0))),"NA")</f>
        <v>0.25</v>
      </c>
      <c r="W16" s="30" cm="1">
        <f t="array" aca="1" ref="W16" ca="1">IFERROR(ABS(OFFSET($E$6,ROW()-ROW(Annual_Periods),MATCH(W$6,Annual_Periods,0)) /
OFFSET($E$11,0,MATCH(W$6,Annual_Periods,0))),"NA")</f>
        <v>0.3</v>
      </c>
      <c r="X16" s="30" cm="1">
        <f t="array" aca="1" ref="X16" ca="1">IFERROR(ABS(OFFSET($E$6,ROW()-ROW(Annual_Periods),MATCH(X$6,Annual_Periods,0)) /
OFFSET($E$11,0,MATCH(X$6,Annual_Periods,0))),"NA")</f>
        <v>0.35</v>
      </c>
      <c r="AE16" s="468" t="s">
        <v>93</v>
      </c>
      <c r="AF16" s="465">
        <f ca="1">AVERAGE(T16:X16)</f>
        <v>0.27</v>
      </c>
    </row>
    <row r="17" spans="3:32">
      <c r="C17" s="3"/>
      <c r="D17" s="6" t="s">
        <v>94</v>
      </c>
      <c r="E17" s="3"/>
      <c r="F17" s="460">
        <f ca="1">F11+F16</f>
        <v>1092</v>
      </c>
      <c r="G17" s="460">
        <f ca="1">G11+G16</f>
        <v>4487</v>
      </c>
      <c r="H17" s="460">
        <f ca="1">H11+H16</f>
        <v>3849</v>
      </c>
      <c r="I17" s="460">
        <f ca="1">I11+I16</f>
        <v>32108</v>
      </c>
      <c r="J17" s="460">
        <f ca="1">J11+J16</f>
        <v>41490.400000000001</v>
      </c>
      <c r="K17" s="460">
        <f ca="1">K11+K16</f>
        <v>62235.600000000006</v>
      </c>
      <c r="L17" s="460">
        <f ca="1">L11+L16</f>
        <v>124471.20000000001</v>
      </c>
      <c r="M17" s="460">
        <f ca="1">M11+M16</f>
        <v>255580.864</v>
      </c>
      <c r="N17" s="460">
        <f ca="1">N11+N16</f>
        <v>427185.15840000007</v>
      </c>
      <c r="P17" s="32" cm="1">
        <f t="array" aca="1" ref="P17" ca="1">IFERROR(OFFSET($E$6,ROW()-ROW(Annual_Periods),MATCH(P$6,Annual_Periods,0)) /
OFFSET($E$11,0,MATCH(P$6,Annual_Periods,0)),"NA")</f>
        <v>0.38155136268343814</v>
      </c>
      <c r="Q17" s="32" cm="1">
        <f t="array" aca="1" ref="Q17" ca="1">IFERROR(OFFSET($E$6,ROW()-ROW(Annual_Periods),MATCH(Q$6,Annual_Periods,0)) /
OFFSET($E$11,0,MATCH(Q$6,Annual_Periods,0)),"NA")</f>
        <v>0.38012538122670281</v>
      </c>
      <c r="R17" s="32" cm="1">
        <f t="array" aca="1" ref="R17" ca="1">IFERROR(OFFSET($E$6,ROW()-ROW(Annual_Periods),MATCH(R$6,Annual_Periods,0)) /
OFFSET($E$11,0,MATCH(R$6,Annual_Periods,0)),"NA")</f>
        <v>0.16874177992108724</v>
      </c>
      <c r="S17" s="32" cm="1">
        <f t="array" aca="1" ref="S17" ca="1">IFERROR(OFFSET($E$6,ROW()-ROW(Annual_Periods),MATCH(S$6,Annual_Periods,0)) /
OFFSET($E$11,0,MATCH(S$6,Annual_Periods,0)),"NA")</f>
        <v>0.86672965312457817</v>
      </c>
      <c r="T17" s="32" cm="1">
        <f t="array" aca="1" ref="T17" ca="1">IFERROR(OFFSET($E$6,ROW()-ROW(Annual_Periods),MATCH(T$6,Annual_Periods,0)) /
OFFSET($E$11,0,MATCH(T$6,Annual_Periods,0)),"NA")</f>
        <v>0.8</v>
      </c>
      <c r="U17" s="32" cm="1">
        <f t="array" aca="1" ref="U17" ca="1">IFERROR(OFFSET($E$6,ROW()-ROW(Annual_Periods),MATCH(U$6,Annual_Periods,0)) /
OFFSET($E$11,0,MATCH(U$6,Annual_Periods,0)),"NA")</f>
        <v>0.75</v>
      </c>
      <c r="V17" s="32" cm="1">
        <f t="array" aca="1" ref="V17" ca="1">IFERROR(OFFSET($E$6,ROW()-ROW(Annual_Periods),MATCH(V$6,Annual_Periods,0)) /
OFFSET($E$11,0,MATCH(V$6,Annual_Periods,0)),"NA")</f>
        <v>0.75</v>
      </c>
      <c r="W17" s="32" cm="1">
        <f t="array" aca="1" ref="W17" ca="1">IFERROR(OFFSET($E$6,ROW()-ROW(Annual_Periods),MATCH(W$6,Annual_Periods,0)) /
OFFSET($E$11,0,MATCH(W$6,Annual_Periods,0)),"NA")</f>
        <v>0.7</v>
      </c>
      <c r="X17" s="32" cm="1">
        <f t="array" aca="1" ref="X17" ca="1">IFERROR(OFFSET($E$6,ROW()-ROW(Annual_Periods),MATCH(X$6,Annual_Periods,0)) /
OFFSET($E$11,0,MATCH(X$6,Annual_Periods,0)),"NA")</f>
        <v>0.65</v>
      </c>
    </row>
    <row r="18" spans="3:32">
      <c r="D18" s="8" t="s">
        <v>95</v>
      </c>
      <c r="F18" s="12">
        <f t="shared" ref="F18:M18" ca="1" si="6">IFERROR(F17/F$11,"NA")</f>
        <v>0.38155136268343814</v>
      </c>
      <c r="G18" s="12">
        <f t="shared" ca="1" si="6"/>
        <v>0.38012538122670281</v>
      </c>
      <c r="H18" s="12">
        <f t="shared" ca="1" si="6"/>
        <v>0.16874177992108724</v>
      </c>
      <c r="I18" s="12">
        <f t="shared" ca="1" si="6"/>
        <v>0.86672965312457817</v>
      </c>
      <c r="J18" s="12">
        <f t="shared" ca="1" si="6"/>
        <v>0.8</v>
      </c>
      <c r="K18" s="12">
        <f t="shared" ca="1" si="6"/>
        <v>0.75</v>
      </c>
      <c r="L18" s="12">
        <f t="shared" ca="1" si="6"/>
        <v>0.75</v>
      </c>
      <c r="M18" s="12">
        <f t="shared" ca="1" si="6"/>
        <v>0.7</v>
      </c>
      <c r="N18" s="12">
        <f t="shared" ref="N18" ca="1" si="7">IFERROR(N17/N$11,"NA")</f>
        <v>0.65</v>
      </c>
    </row>
    <row r="19" spans="3:32" ht="6" customHeight="1"/>
    <row r="20" spans="3:32">
      <c r="D20" s="21" t="s">
        <v>96</v>
      </c>
      <c r="F20" s="20"/>
      <c r="G20" s="20"/>
      <c r="H20" s="20"/>
      <c r="I20" s="20"/>
      <c r="J20" s="20"/>
      <c r="K20" s="20"/>
      <c r="L20" s="20"/>
      <c r="M20" s="20"/>
      <c r="N20" s="20"/>
      <c r="P20" s="20"/>
      <c r="Q20" s="20"/>
      <c r="R20" s="20"/>
      <c r="S20" s="20"/>
      <c r="T20" s="20"/>
      <c r="U20" s="20"/>
      <c r="V20" s="20"/>
      <c r="W20" s="20"/>
      <c r="X20" s="20"/>
      <c r="Z20" s="20"/>
      <c r="AA20" s="20"/>
      <c r="AB20" s="20"/>
      <c r="AC20" s="20"/>
      <c r="AD20" s="20"/>
    </row>
    <row r="21" spans="3:32">
      <c r="D21" s="7" t="s">
        <v>97</v>
      </c>
      <c r="F21" s="493">
        <v>45226</v>
      </c>
      <c r="G21" s="493">
        <v>55307</v>
      </c>
      <c r="H21" s="493">
        <v>65404</v>
      </c>
      <c r="I21" s="493">
        <v>75901</v>
      </c>
      <c r="J21" s="509">
        <f ca="1">J$11*(Z21)</f>
        <v>88167.099999999991</v>
      </c>
      <c r="K21" s="509">
        <f ca="1">K$11*(AA21)</f>
        <v>95427.92</v>
      </c>
      <c r="L21" s="509">
        <f t="shared" ref="J21:N23" ca="1" si="8">L$11*(AB21)</f>
        <v>99576.960000000006</v>
      </c>
      <c r="M21" s="509">
        <f t="shared" ca="1" si="8"/>
        <v>109534.656</v>
      </c>
      <c r="N21" s="509">
        <f t="shared" ca="1" si="8"/>
        <v>177446.14272000003</v>
      </c>
      <c r="P21" s="29" cm="1">
        <f t="array" aca="1" ref="P21" ca="1">IFERROR(ABS(OFFSET($E$6,ROW()-ROW(Annual_Periods),MATCH(P$6,Annual_Periods,0)) /
OFFSET($E$11,0,MATCH(P$6,Annual_Periods,0))),"NA")</f>
        <v>15.802236198462614</v>
      </c>
      <c r="Q21" s="29" cm="1">
        <f t="array" aca="1" ref="Q21" ca="1">IFERROR(ABS(OFFSET($E$6,ROW()-ROW(Annual_Periods),MATCH(Q$6,Annual_Periods,0)) /
OFFSET($E$11,0,MATCH(Q$6,Annual_Periods,0))),"NA")</f>
        <v>4.6854456116570651</v>
      </c>
      <c r="R21" s="29" cm="1">
        <f t="array" aca="1" ref="R21" ca="1">IFERROR(ABS(OFFSET($E$6,ROW()-ROW(Annual_Periods),MATCH(R$6,Annual_Periods,0)) /
OFFSET($E$11,0,MATCH(R$6,Annual_Periods,0))),"NA")</f>
        <v>2.86733888645331</v>
      </c>
      <c r="S21" s="29" cm="1">
        <f t="array" aca="1" ref="S21" ca="1">IFERROR(ABS(OFFSET($E$6,ROW()-ROW(Annual_Periods),MATCH(S$6,Annual_Periods,0)) /
OFFSET($E$11,0,MATCH(S$6,Annual_Periods,0))),"NA")</f>
        <v>2.048886489404778</v>
      </c>
      <c r="T21" s="29" cm="1">
        <f t="array" aca="1" ref="T21" ca="1">IFERROR(ABS(OFFSET($E$6,ROW()-ROW(Annual_Periods),MATCH(T$6,Annual_Periods,0)) /
OFFSET($E$11,0,MATCH(T$6,Annual_Periods,0))),"NA")</f>
        <v>1.6999999999999997</v>
      </c>
      <c r="U21" s="29" cm="1">
        <f t="array" aca="1" ref="U21" ca="1">IFERROR(ABS(OFFSET($E$6,ROW()-ROW(Annual_Periods),MATCH(U$6,Annual_Periods,0)) /
OFFSET($E$11,0,MATCH(U$6,Annual_Periods,0))),"NA")</f>
        <v>1.1499999999999999</v>
      </c>
      <c r="V21" s="29" cm="1">
        <f t="array" aca="1" ref="V21" ca="1">IFERROR(ABS(OFFSET($E$6,ROW()-ROW(Annual_Periods),MATCH(V$6,Annual_Periods,0)) /
OFFSET($E$11,0,MATCH(V$6,Annual_Periods,0))),"NA")</f>
        <v>0.6</v>
      </c>
      <c r="W21" s="29" cm="1">
        <f t="array" aca="1" ref="W21" ca="1">IFERROR(ABS(OFFSET($E$6,ROW()-ROW(Annual_Periods),MATCH(W$6,Annual_Periods,0)) /
OFFSET($E$11,0,MATCH(W$6,Annual_Periods,0))),"NA")</f>
        <v>0.3</v>
      </c>
      <c r="X21" s="29" cm="1">
        <f t="array" aca="1" ref="X21" ca="1">IFERROR(ABS(OFFSET($E$6,ROW()-ROW(Annual_Periods),MATCH(X$6,Annual_Periods,0)) /
OFFSET($E$11,0,MATCH(X$6,Annual_Periods,0))),"NA")</f>
        <v>0.27</v>
      </c>
      <c r="Z21" s="104">
        <v>1.7</v>
      </c>
      <c r="AA21" s="104">
        <v>1.1499999999999999</v>
      </c>
      <c r="AB21" s="104">
        <v>0.6</v>
      </c>
      <c r="AC21" s="104">
        <v>0.3</v>
      </c>
      <c r="AD21" s="104">
        <v>0.27</v>
      </c>
    </row>
    <row r="22" spans="3:32">
      <c r="D22" s="7" t="s">
        <v>98</v>
      </c>
      <c r="F22" s="493">
        <v>93136</v>
      </c>
      <c r="G22" s="493">
        <v>127662</v>
      </c>
      <c r="H22" s="493">
        <v>156050</v>
      </c>
      <c r="I22" s="493">
        <v>46817</v>
      </c>
      <c r="J22" s="509">
        <f t="shared" ca="1" si="8"/>
        <v>49269.85</v>
      </c>
      <c r="K22" s="509">
        <f t="shared" ca="1" si="8"/>
        <v>45639.44</v>
      </c>
      <c r="L22" s="509">
        <f t="shared" ca="1" si="8"/>
        <v>41490.400000000001</v>
      </c>
      <c r="M22" s="509">
        <f t="shared" ca="1" si="8"/>
        <v>36511.552000000003</v>
      </c>
      <c r="N22" s="509">
        <f t="shared" ca="1" si="8"/>
        <v>39432.476160000006</v>
      </c>
      <c r="P22" s="29" cm="1">
        <f t="array" aca="1" ref="P22" ca="1">IFERROR(ABS(OFFSET($E$6,ROW()-ROW(Annual_Periods),MATCH(P$6,Annual_Periods,0)) /
OFFSET($E$11,0,MATCH(P$6,Annual_Periods,0))),"NA")</f>
        <v>32.542278127183785</v>
      </c>
      <c r="Q22" s="29" cm="1">
        <f t="array" aca="1" ref="Q22" ca="1">IFERROR(ABS(OFFSET($E$6,ROW()-ROW(Annual_Periods),MATCH(Q$6,Annual_Periods,0)) /
OFFSET($E$11,0,MATCH(Q$6,Annual_Periods,0))),"NA")</f>
        <v>10.81514740765842</v>
      </c>
      <c r="R22" s="29" cm="1">
        <f t="array" aca="1" ref="R22" ca="1">IFERROR(ABS(OFFSET($E$6,ROW()-ROW(Annual_Periods),MATCH(R$6,Annual_Periods,0)) /
OFFSET($E$11,0,MATCH(R$6,Annual_Periods,0))),"NA")</f>
        <v>6.8412976764576943</v>
      </c>
      <c r="S22" s="29" cm="1">
        <f t="array" aca="1" ref="S22" ca="1">IFERROR(ABS(OFFSET($E$6,ROW()-ROW(Annual_Periods),MATCH(S$6,Annual_Periods,0)) /
OFFSET($E$11,0,MATCH(S$6,Annual_Periods,0))),"NA")</f>
        <v>1.2637872857335672</v>
      </c>
      <c r="T22" s="29" cm="1">
        <f t="array" aca="1" ref="T22" ca="1">IFERROR(ABS(OFFSET($E$6,ROW()-ROW(Annual_Periods),MATCH(T$6,Annual_Periods,0)) /
OFFSET($E$11,0,MATCH(T$6,Annual_Periods,0))),"NA")</f>
        <v>0.95</v>
      </c>
      <c r="U22" s="29" cm="1">
        <f t="array" aca="1" ref="U22" ca="1">IFERROR(ABS(OFFSET($E$6,ROW()-ROW(Annual_Periods),MATCH(U$6,Annual_Periods,0)) /
OFFSET($E$11,0,MATCH(U$6,Annual_Periods,0))),"NA")</f>
        <v>0.55000000000000004</v>
      </c>
      <c r="V22" s="29" cm="1">
        <f t="array" aca="1" ref="V22" ca="1">IFERROR(ABS(OFFSET($E$6,ROW()-ROW(Annual_Periods),MATCH(V$6,Annual_Periods,0)) /
OFFSET($E$11,0,MATCH(V$6,Annual_Periods,0))),"NA")</f>
        <v>0.25</v>
      </c>
      <c r="W22" s="29" cm="1">
        <f t="array" aca="1" ref="W22" ca="1">IFERROR(ABS(OFFSET($E$6,ROW()-ROW(Annual_Periods),MATCH(W$6,Annual_Periods,0)) /
OFFSET($E$11,0,MATCH(W$6,Annual_Periods,0))),"NA")</f>
        <v>0.1</v>
      </c>
      <c r="X22" s="29" cm="1">
        <f t="array" aca="1" ref="X22" ca="1">IFERROR(ABS(OFFSET($E$6,ROW()-ROW(Annual_Periods),MATCH(X$6,Annual_Periods,0)) /
OFFSET($E$11,0,MATCH(X$6,Annual_Periods,0))),"NA")</f>
        <v>0.06</v>
      </c>
      <c r="Z22" s="104">
        <v>0.95</v>
      </c>
      <c r="AA22" s="104">
        <v>0.55000000000000004</v>
      </c>
      <c r="AB22" s="104">
        <v>0.25</v>
      </c>
      <c r="AC22" s="104">
        <v>0.1</v>
      </c>
      <c r="AD22" s="104">
        <v>0.06</v>
      </c>
    </row>
    <row r="23" spans="3:32">
      <c r="D23" s="7" t="s">
        <v>99</v>
      </c>
      <c r="F23" s="493">
        <v>37030</v>
      </c>
      <c r="G23" s="493">
        <v>51513</v>
      </c>
      <c r="H23" s="493">
        <v>57960</v>
      </c>
      <c r="I23" s="508">
        <v>48115</v>
      </c>
      <c r="J23" s="509">
        <f ca="1">J$11*(Z23)</f>
        <v>41490.400000000001</v>
      </c>
      <c r="K23" s="509">
        <f t="shared" ca="1" si="8"/>
        <v>45639.44</v>
      </c>
      <c r="L23" s="509">
        <f t="shared" ca="1" si="8"/>
        <v>49788.480000000003</v>
      </c>
      <c r="M23" s="509">
        <f t="shared" ca="1" si="8"/>
        <v>51116.172800000008</v>
      </c>
      <c r="N23" s="509">
        <f t="shared" ca="1" si="8"/>
        <v>78864.952320000011</v>
      </c>
      <c r="P23" s="29" cm="1">
        <f t="array" aca="1" ref="P23" ca="1">IFERROR(ABS(OFFSET($E$6,ROW()-ROW(Annual_Periods),MATCH(P$6,Annual_Periods,0)) /
OFFSET($E$11,0,MATCH(P$6,Annual_Periods,0))),"NA")</f>
        <v>12.938504542278126</v>
      </c>
      <c r="Q23" s="29" cm="1">
        <f t="array" aca="1" ref="Q23" ca="1">IFERROR(ABS(OFFSET($E$6,ROW()-ROW(Annual_Periods),MATCH(Q$6,Annual_Periods,0)) /
OFFSET($E$11,0,MATCH(Q$6,Annual_Periods,0))),"NA")</f>
        <v>4.3640291426635036</v>
      </c>
      <c r="R23" s="29" cm="1">
        <f t="array" aca="1" ref="R23" ca="1">IFERROR(ABS(OFFSET($E$6,ROW()-ROW(Annual_Periods),MATCH(R$6,Annual_Periods,0)) /
OFFSET($E$11,0,MATCH(R$6,Annual_Periods,0))),"NA")</f>
        <v>2.5409907935116176</v>
      </c>
      <c r="S23" s="29" cm="1">
        <f t="array" aca="1" ref="S23" ca="1">IFERROR(ABS(OFFSET($E$6,ROW()-ROW(Annual_Periods),MATCH(S$6,Annual_Periods,0)) /
OFFSET($E$11,0,MATCH(S$6,Annual_Periods,0))),"NA")</f>
        <v>1.2988257524632205</v>
      </c>
      <c r="T23" s="29" cm="1">
        <f t="array" aca="1" ref="T23" ca="1">IFERROR(ABS(OFFSET($E$6,ROW()-ROW(Annual_Periods),MATCH(T$6,Annual_Periods,0)) /
OFFSET($E$11,0,MATCH(T$6,Annual_Periods,0))),"NA")</f>
        <v>0.8</v>
      </c>
      <c r="U23" s="29" cm="1">
        <f t="array" aca="1" ref="U23" ca="1">IFERROR(ABS(OFFSET($E$6,ROW()-ROW(Annual_Periods),MATCH(U$6,Annual_Periods,0)) /
OFFSET($E$11,0,MATCH(U$6,Annual_Periods,0))),"NA")</f>
        <v>0.55000000000000004</v>
      </c>
      <c r="V23" s="29" cm="1">
        <f t="array" aca="1" ref="V23" ca="1">IFERROR(ABS(OFFSET($E$6,ROW()-ROW(Annual_Periods),MATCH(V$6,Annual_Periods,0)) /
OFFSET($E$11,0,MATCH(V$6,Annual_Periods,0))),"NA")</f>
        <v>0.3</v>
      </c>
      <c r="W23" s="29" cm="1">
        <f t="array" aca="1" ref="W23" ca="1">IFERROR(ABS(OFFSET($E$6,ROW()-ROW(Annual_Periods),MATCH(W$6,Annual_Periods,0)) /
OFFSET($E$11,0,MATCH(W$6,Annual_Periods,0))),"NA")</f>
        <v>0.14000000000000001</v>
      </c>
      <c r="X23" s="29" cm="1">
        <f t="array" aca="1" ref="X23" ca="1">IFERROR(ABS(OFFSET($E$6,ROW()-ROW(Annual_Periods),MATCH(X$6,Annual_Periods,0)) /
OFFSET($E$11,0,MATCH(X$6,Annual_Periods,0))),"NA")</f>
        <v>0.12</v>
      </c>
      <c r="Z23" s="104">
        <v>0.8</v>
      </c>
      <c r="AA23" s="104">
        <v>0.55000000000000004</v>
      </c>
      <c r="AB23" s="104">
        <v>0.3</v>
      </c>
      <c r="AC23" s="104">
        <v>0.14000000000000001</v>
      </c>
      <c r="AD23" s="104">
        <v>0.12</v>
      </c>
    </row>
    <row r="24" spans="3:32">
      <c r="D24" s="6" t="s">
        <v>100</v>
      </c>
      <c r="F24" s="460">
        <f ca="1">F17-SUBTOTAL(9,OFFSET(F20,1,0):OFFSET(F24,-1,0))</f>
        <v>-174300</v>
      </c>
      <c r="G24" s="460">
        <f ca="1">G17-SUBTOTAL(9,OFFSET(G20,1,0):OFFSET(G24,-1,0))</f>
        <v>-229995</v>
      </c>
      <c r="H24" s="460">
        <f ca="1">H17-SUBTOTAL(9,OFFSET(H20,1,0):OFFSET(H24,-1,0))</f>
        <v>-275565</v>
      </c>
      <c r="I24" s="460">
        <f ca="1">I17-SUBTOTAL(9,OFFSET(I20,1,0):OFFSET(I24,-1,0))</f>
        <v>-138725</v>
      </c>
      <c r="J24" s="460">
        <f ca="1">J17-SUBTOTAL(9,OFFSET(J20,1,0):OFFSET(J24,-1,0))</f>
        <v>-137436.94999999998</v>
      </c>
      <c r="K24" s="460">
        <f ca="1">K17-SUBTOTAL(9,OFFSET(K20,1,0):OFFSET(K24,-1,0))</f>
        <v>-124471.19999999998</v>
      </c>
      <c r="L24" s="460">
        <f ca="1">L17-SUBTOTAL(9,OFFSET(L20,1,0):OFFSET(L24,-1,0))</f>
        <v>-66384.640000000014</v>
      </c>
      <c r="M24" s="460">
        <f ca="1">M17-SUBTOTAL(9,OFFSET(M20,1,0):OFFSET(M24,-1,0))</f>
        <v>58418.483199999988</v>
      </c>
      <c r="N24" s="460">
        <f ca="1">N17-SUBTOTAL(9,OFFSET(N20,1,0):OFFSET(N24,-1,0))</f>
        <v>131441.58720000007</v>
      </c>
      <c r="P24" s="32" cm="1">
        <f t="array" aca="1" ref="P24" ca="1">IFERROR(OFFSET($E$6,ROW()-ROW(Annual_Periods),MATCH(P$6,Annual_Periods,0)) /
OFFSET($E$11,0,MATCH(P$6,Annual_Periods,0)),"NA")</f>
        <v>-60.901467505241094</v>
      </c>
      <c r="Q24" s="32" cm="1">
        <f t="array" aca="1" ref="Q24" ca="1">IFERROR(OFFSET($E$6,ROW()-ROW(Annual_Periods),MATCH(Q$6,Annual_Periods,0)) /
OFFSET($E$11,0,MATCH(Q$6,Annual_Periods,0)),"NA")</f>
        <v>-19.484496780752288</v>
      </c>
      <c r="R24" s="32" cm="1">
        <f t="array" aca="1" ref="R24" ca="1">IFERROR(OFFSET($E$6,ROW()-ROW(Annual_Periods),MATCH(R$6,Annual_Periods,0)) /
OFFSET($E$11,0,MATCH(R$6,Annual_Periods,0)),"NA")</f>
        <v>-12.080885576501535</v>
      </c>
      <c r="S24" s="32" cm="1">
        <f t="array" aca="1" ref="S24" ca="1">IFERROR(OFFSET($E$6,ROW()-ROW(Annual_Periods),MATCH(S$6,Annual_Periods,0)) /
OFFSET($E$11,0,MATCH(S$6,Annual_Periods,0)),"NA")</f>
        <v>-3.7447698744769875</v>
      </c>
      <c r="T24" s="32" cm="1">
        <f t="array" aca="1" ref="T24" ca="1">IFERROR(OFFSET($E$6,ROW()-ROW(Annual_Periods),MATCH(T$6,Annual_Periods,0)) /
OFFSET($E$11,0,MATCH(T$6,Annual_Periods,0)),"NA")</f>
        <v>-2.6499999999999995</v>
      </c>
      <c r="U24" s="32" cm="1">
        <f t="array" aca="1" ref="U24" ca="1">IFERROR(OFFSET($E$6,ROW()-ROW(Annual_Periods),MATCH(U$6,Annual_Periods,0)) /
OFFSET($E$11,0,MATCH(U$6,Annual_Periods,0)),"NA")</f>
        <v>-1.4999999999999998</v>
      </c>
      <c r="V24" s="32" cm="1">
        <f t="array" aca="1" ref="V24" ca="1">IFERROR(OFFSET($E$6,ROW()-ROW(Annual_Periods),MATCH(V$6,Annual_Periods,0)) /
OFFSET($E$11,0,MATCH(V$6,Annual_Periods,0)),"NA")</f>
        <v>-0.40000000000000008</v>
      </c>
      <c r="W24" s="32" cm="1">
        <f t="array" aca="1" ref="W24" ca="1">IFERROR(OFFSET($E$6,ROW()-ROW(Annual_Periods),MATCH(W$6,Annual_Periods,0)) /
OFFSET($E$11,0,MATCH(W$6,Annual_Periods,0)),"NA")</f>
        <v>0.15999999999999995</v>
      </c>
      <c r="X24" s="32" cm="1">
        <f t="array" aca="1" ref="X24" ca="1">IFERROR(OFFSET($E$6,ROW()-ROW(Annual_Periods),MATCH(X$6,Annual_Periods,0)) /
OFFSET($E$11,0,MATCH(X$6,Annual_Periods,0)),"NA")</f>
        <v>0.20000000000000007</v>
      </c>
    </row>
    <row r="25" spans="3:32">
      <c r="D25" s="7" t="s">
        <v>101</v>
      </c>
      <c r="F25" s="493">
        <v>2018</v>
      </c>
      <c r="G25" s="493">
        <v>2521</v>
      </c>
      <c r="H25" s="493">
        <v>2380</v>
      </c>
      <c r="I25" s="493">
        <v>1665</v>
      </c>
      <c r="J25" s="462">
        <f ca="1">-J183</f>
        <v>1193.067</v>
      </c>
      <c r="K25" s="462">
        <f t="shared" ref="K25:N25" ca="1" si="9">-K183</f>
        <v>1581.9740999999997</v>
      </c>
      <c r="L25" s="462">
        <f t="shared" ca="1" si="9"/>
        <v>2601.0362700000001</v>
      </c>
      <c r="M25" s="462">
        <f t="shared" ca="1" si="9"/>
        <v>5106.765069</v>
      </c>
      <c r="N25" s="462">
        <f t="shared" ca="1" si="9"/>
        <v>9489.6069723000001</v>
      </c>
      <c r="P25" s="29" cm="1">
        <f t="array" aca="1" ref="P25" ca="1">IFERROR(ABS(OFFSET($E$6,ROW()-ROW(Annual_Periods),MATCH(P$6,Annual_Periods,0)) /
OFFSET($E$11,0,MATCH(P$6,Annual_Periods,0))),"NA")</f>
        <v>0.70510132774283718</v>
      </c>
      <c r="Q25" s="29" cm="1">
        <f t="array" aca="1" ref="Q25" ca="1">IFERROR(ABS(OFFSET($E$6,ROW()-ROW(Annual_Periods),MATCH(Q$6,Annual_Periods,0)) /
OFFSET($E$11,0,MATCH(Q$6,Annual_Periods,0))),"NA")</f>
        <v>0.21357167062012877</v>
      </c>
      <c r="R25" s="29" cm="1">
        <f t="array" aca="1" ref="R25" ca="1">IFERROR(ABS(OFFSET($E$6,ROW()-ROW(Annual_Periods),MATCH(R$6,Annual_Periods,0)) /
OFFSET($E$11,0,MATCH(R$6,Annual_Periods,0))),"NA")</f>
        <v>0.10434020166593599</v>
      </c>
      <c r="S25" s="29" cm="1">
        <f t="array" aca="1" ref="S25" ca="1">IFERROR(ABS(OFFSET($E$6,ROW()-ROW(Annual_Periods),MATCH(S$6,Annual_Periods,0)) /
OFFSET($E$11,0,MATCH(S$6,Annual_Periods,0))),"NA")</f>
        <v>4.4945336752598194E-2</v>
      </c>
      <c r="T25" s="29" cm="1">
        <f t="array" aca="1" ref="T25" ca="1">IFERROR(ABS(OFFSET($E$6,ROW()-ROW(Annual_Periods),MATCH(T$6,Annual_Periods,0)) /
OFFSET($E$11,0,MATCH(T$6,Annual_Periods,0))),"NA")</f>
        <v>2.3004203381987158E-2</v>
      </c>
      <c r="U25" s="29" cm="1">
        <f t="array" aca="1" ref="U25" ca="1">IFERROR(ABS(OFFSET($E$6,ROW()-ROW(Annual_Periods),MATCH(U$6,Annual_Periods,0)) /
OFFSET($E$11,0,MATCH(U$6,Annual_Periods,0))),"NA")</f>
        <v>1.9064338979619379E-2</v>
      </c>
      <c r="V25" s="29" cm="1">
        <f t="array" aca="1" ref="V25" ca="1">IFERROR(ABS(OFFSET($E$6,ROW()-ROW(Annual_Periods),MATCH(V$6,Annual_Periods,0)) /
OFFSET($E$11,0,MATCH(V$6,Annual_Periods,0))),"NA")</f>
        <v>1.5672518642866784E-2</v>
      </c>
      <c r="W25" s="29" cm="1">
        <f t="array" aca="1" ref="W25" ca="1">IFERROR(ABS(OFFSET($E$6,ROW()-ROW(Annual_Periods),MATCH(W$6,Annual_Periods,0)) /
OFFSET($E$11,0,MATCH(W$6,Annual_Periods,0))),"NA")</f>
        <v>1.3986710477275795E-2</v>
      </c>
      <c r="X25" s="29" cm="1">
        <f t="array" aca="1" ref="X25" ca="1">IFERROR(ABS(OFFSET($E$6,ROW()-ROW(Annual_Periods),MATCH(X$6,Annual_Periods,0)) /
OFFSET($E$11,0,MATCH(X$6,Annual_Periods,0))),"NA")</f>
        <v>1.4439276296718363E-2</v>
      </c>
    </row>
    <row r="26" spans="3:32">
      <c r="D26" s="7" t="s">
        <v>102</v>
      </c>
      <c r="F26" s="493">
        <v>177</v>
      </c>
      <c r="G26" s="493">
        <v>177</v>
      </c>
      <c r="H26" s="493">
        <v>177</v>
      </c>
      <c r="I26" s="493">
        <v>177</v>
      </c>
      <c r="J26" s="466">
        <f ca="1">-J191</f>
        <v>237.9875877495513</v>
      </c>
      <c r="K26" s="466">
        <f t="shared" ref="K26:N26" ca="1" si="10">-K191</f>
        <v>419.3189466222201</v>
      </c>
      <c r="L26" s="466">
        <f t="shared" ca="1" si="10"/>
        <v>1273.4234699876179</v>
      </c>
      <c r="M26" s="466">
        <f t="shared" ca="1" si="10"/>
        <v>2540.8552112210596</v>
      </c>
      <c r="N26" s="466">
        <f t="shared" ca="1" si="10"/>
        <v>4386.5649705341302</v>
      </c>
      <c r="P26" s="29" cm="1">
        <f t="array" aca="1" ref="P26" ca="1">IFERROR(ABS(OFFSET($E$6,ROW()-ROW(Annual_Periods),MATCH(P$6,Annual_Periods,0)) /
OFFSET($E$11,0,MATCH(P$6,Annual_Periods,0))),"NA")</f>
        <v>6.1844863731656187E-2</v>
      </c>
      <c r="Q26" s="29" cm="1">
        <f t="array" aca="1" ref="Q26" ca="1">IFERROR(ABS(OFFSET($E$6,ROW()-ROW(Annual_Periods),MATCH(Q$6,Annual_Periods,0)) /
OFFSET($E$11,0,MATCH(Q$6,Annual_Periods,0))),"NA")</f>
        <v>1.4994916977295832E-2</v>
      </c>
      <c r="R26" s="29" cm="1">
        <f t="array" aca="1" ref="R26" ca="1">IFERROR(ABS(OFFSET($E$6,ROW()-ROW(Annual_Periods),MATCH(R$6,Annual_Periods,0)) /
OFFSET($E$11,0,MATCH(R$6,Annual_Periods,0))),"NA")</f>
        <v>7.7597544936431392E-3</v>
      </c>
      <c r="S26" s="29" cm="1">
        <f t="array" aca="1" ref="S26" ca="1">IFERROR(ABS(OFFSET($E$6,ROW()-ROW(Annual_Periods),MATCH(S$6,Annual_Periods,0)) /
OFFSET($E$11,0,MATCH(S$6,Annual_Periods,0))),"NA")</f>
        <v>4.77797273586179E-3</v>
      </c>
      <c r="T26" s="29" cm="1">
        <f t="array" aca="1" ref="T26" ca="1">IFERROR(ABS(OFFSET($E$6,ROW()-ROW(Annual_Periods),MATCH(T$6,Annual_Periods,0)) /
OFFSET($E$11,0,MATCH(T$6,Annual_Periods,0))),"NA")</f>
        <v>4.5887740344667935E-3</v>
      </c>
      <c r="U26" s="29" cm="1">
        <f t="array" aca="1" ref="U26" ca="1">IFERROR(ABS(OFFSET($E$6,ROW()-ROW(Annual_Periods),MATCH(U$6,Annual_Periods,0)) /
OFFSET($E$11,0,MATCH(U$6,Annual_Periods,0))),"NA")</f>
        <v>5.0532044355106253E-3</v>
      </c>
      <c r="V26" s="29" cm="1">
        <f t="array" aca="1" ref="V26" ca="1">IFERROR(ABS(OFFSET($E$6,ROW()-ROW(Annual_Periods),MATCH(V$6,Annual_Periods,0)) /
OFFSET($E$11,0,MATCH(V$6,Annual_Periods,0))),"NA")</f>
        <v>7.6730006820108854E-3</v>
      </c>
      <c r="W26" s="29" cm="1">
        <f t="array" aca="1" ref="W26" ca="1">IFERROR(ABS(OFFSET($E$6,ROW()-ROW(Annual_Periods),MATCH(W$6,Annual_Periods,0)) /
OFFSET($E$11,0,MATCH(W$6,Annual_Periods,0))),"NA")</f>
        <v>6.959044664058815E-3</v>
      </c>
      <c r="X26" s="29" cm="1">
        <f t="array" aca="1" ref="X26" ca="1">IFERROR(ABS(OFFSET($E$6,ROW()-ROW(Annual_Periods),MATCH(X$6,Annual_Periods,0)) /
OFFSET($E$11,0,MATCH(X$6,Annual_Periods,0))),"NA")</f>
        <v>6.6745465631962934E-3</v>
      </c>
    </row>
    <row r="27" spans="3:32" ht="12.6" thickBot="1">
      <c r="D27" s="3" t="s">
        <v>103</v>
      </c>
      <c r="F27" s="459">
        <f>SUBTOTAL(9,F21:F23)</f>
        <v>175392</v>
      </c>
      <c r="G27" s="459">
        <f t="shared" ref="G27" si="11">SUBTOTAL(9,G21:G23)</f>
        <v>234482</v>
      </c>
      <c r="H27" s="459">
        <f>SUBTOTAL(9,H21:H23)</f>
        <v>279414</v>
      </c>
      <c r="I27" s="459">
        <f>SUBTOTAL(9,I21:I23)</f>
        <v>170833</v>
      </c>
      <c r="J27" s="459">
        <f t="shared" ref="J27:N27" ca="1" si="12">SUBTOTAL(9,J21:J23)</f>
        <v>178927.34999999998</v>
      </c>
      <c r="K27" s="459">
        <f t="shared" ca="1" si="12"/>
        <v>186706.8</v>
      </c>
      <c r="L27" s="459">
        <f t="shared" ca="1" si="12"/>
        <v>190855.84000000003</v>
      </c>
      <c r="M27" s="459">
        <f t="shared" ca="1" si="12"/>
        <v>197162.38080000001</v>
      </c>
      <c r="N27" s="459">
        <f t="shared" ca="1" si="12"/>
        <v>295743.57120000001</v>
      </c>
      <c r="P27" s="30" cm="1">
        <f t="array" aca="1" ref="P27" ca="1">IFERROR(ABS(OFFSET($E$6,ROW()-ROW(Annual_Periods),MATCH(P$6,Annual_Periods,0)) /
OFFSET($E$11,0,MATCH(P$6,Annual_Periods,0))),"NA")</f>
        <v>61.283018867924525</v>
      </c>
      <c r="Q27" s="30" cm="1">
        <f t="array" aca="1" ref="Q27" ca="1">IFERROR(ABS(OFFSET($E$6,ROW()-ROW(Annual_Periods),MATCH(Q$6,Annual_Periods,0)) /
OFFSET($E$11,0,MATCH(Q$6,Annual_Periods,0))),"NA")</f>
        <v>19.864622161978989</v>
      </c>
      <c r="R27" s="30" cm="1">
        <f t="array" aca="1" ref="R27" ca="1">IFERROR(ABS(OFFSET($E$6,ROW()-ROW(Annual_Periods),MATCH(R$6,Annual_Periods,0)) /
OFFSET($E$11,0,MATCH(R$6,Annual_Periods,0))),"NA")</f>
        <v>12.249627356422621</v>
      </c>
      <c r="S27" s="30" cm="1">
        <f t="array" aca="1" ref="S27" ca="1">IFERROR(ABS(OFFSET($E$6,ROW()-ROW(Annual_Periods),MATCH(S$6,Annual_Periods,0)) /
OFFSET($E$11,0,MATCH(S$6,Annual_Periods,0))),"NA")</f>
        <v>4.6114995276015653</v>
      </c>
      <c r="T27" s="30" cm="1">
        <f t="array" aca="1" ref="T27" ca="1">IFERROR(ABS(OFFSET($E$6,ROW()-ROW(Annual_Periods),MATCH(T$6,Annual_Periods,0)) /
OFFSET($E$11,0,MATCH(T$6,Annual_Periods,0))),"NA")</f>
        <v>3.4499999999999997</v>
      </c>
      <c r="U27" s="30" cm="1">
        <f t="array" aca="1" ref="U27" ca="1">IFERROR(ABS(OFFSET($E$6,ROW()-ROW(Annual_Periods),MATCH(U$6,Annual_Periods,0)) /
OFFSET($E$11,0,MATCH(U$6,Annual_Periods,0))),"NA")</f>
        <v>2.25</v>
      </c>
      <c r="V27" s="30" cm="1">
        <f t="array" aca="1" ref="V27" ca="1">IFERROR(ABS(OFFSET($E$6,ROW()-ROW(Annual_Periods),MATCH(V$6,Annual_Periods,0)) /
OFFSET($E$11,0,MATCH(V$6,Annual_Periods,0))),"NA")</f>
        <v>1.1500000000000001</v>
      </c>
      <c r="W27" s="30" cm="1">
        <f t="array" aca="1" ref="W27" ca="1">IFERROR(ABS(OFFSET($E$6,ROW()-ROW(Annual_Periods),MATCH(W$6,Annual_Periods,0)) /
OFFSET($E$11,0,MATCH(W$6,Annual_Periods,0))),"NA")</f>
        <v>0.54</v>
      </c>
      <c r="X27" s="30" cm="1">
        <f t="array" aca="1" ref="X27" ca="1">IFERROR(ABS(OFFSET($E$6,ROW()-ROW(Annual_Periods),MATCH(X$6,Annual_Periods,0)) /
OFFSET($E$11,0,MATCH(X$6,Annual_Periods,0))),"NA")</f>
        <v>0.44999999999999996</v>
      </c>
      <c r="AE27" s="468" t="s">
        <v>104</v>
      </c>
      <c r="AF27" s="465">
        <f ca="1">AVERAGE(T27:X27)</f>
        <v>1.5680000000000001</v>
      </c>
    </row>
    <row r="28" spans="3:32">
      <c r="D28" s="6" t="s">
        <v>105</v>
      </c>
      <c r="F28" s="460">
        <f ca="1">F24+F25+F26</f>
        <v>-172105</v>
      </c>
      <c r="G28" s="460">
        <f t="shared" ref="G28:N28" ca="1" si="13">G24+G25+G26</f>
        <v>-227297</v>
      </c>
      <c r="H28" s="460">
        <f t="shared" ca="1" si="13"/>
        <v>-273008</v>
      </c>
      <c r="I28" s="460">
        <f t="shared" ca="1" si="13"/>
        <v>-136883</v>
      </c>
      <c r="J28" s="460">
        <f ca="1">J24+J25+J26</f>
        <v>-136005.89541225042</v>
      </c>
      <c r="K28" s="460">
        <f t="shared" ca="1" si="13"/>
        <v>-122469.90695337775</v>
      </c>
      <c r="L28" s="460">
        <f t="shared" ca="1" si="13"/>
        <v>-62510.180260012399</v>
      </c>
      <c r="M28" s="460">
        <f t="shared" ca="1" si="13"/>
        <v>66066.103480221049</v>
      </c>
      <c r="N28" s="460">
        <f t="shared" ca="1" si="13"/>
        <v>145317.7591428342</v>
      </c>
      <c r="P28" s="32" cm="1">
        <f t="array" aca="1" ref="P28" ca="1">IFERROR(OFFSET($E$6,ROW()-ROW(Annual_Periods),MATCH(P$6,Annual_Periods,0)) /
OFFSET($E$11,0,MATCH(P$6,Annual_Periods,0)),"NA")</f>
        <v>-60.134521313766598</v>
      </c>
      <c r="Q28" s="32" cm="1">
        <f t="array" aca="1" ref="Q28" ca="1">IFERROR(OFFSET($E$6,ROW()-ROW(Annual_Periods),MATCH(Q$6,Annual_Periods,0)) /
OFFSET($E$11,0,MATCH(Q$6,Annual_Periods,0)),"NA")</f>
        <v>-19.255930193154864</v>
      </c>
      <c r="R28" s="32" cm="1">
        <f t="array" aca="1" ref="R28" ca="1">IFERROR(OFFSET($E$6,ROW()-ROW(Annual_Periods),MATCH(R$6,Annual_Periods,0)) /
OFFSET($E$11,0,MATCH(R$6,Annual_Periods,0)),"NA")</f>
        <v>-11.968785620341956</v>
      </c>
      <c r="S28" s="32" cm="1">
        <f t="array" aca="1" ref="S28" ca="1">IFERROR(OFFSET($E$6,ROW()-ROW(Annual_Periods),MATCH(S$6,Annual_Periods,0)) /
OFFSET($E$11,0,MATCH(S$6,Annual_Periods,0)),"NA")</f>
        <v>-3.6950465649885276</v>
      </c>
      <c r="T28" s="32" cm="1">
        <f t="array" aca="1" ref="T28" ca="1">IFERROR(OFFSET($E$6,ROW()-ROW(Annual_Periods),MATCH(T$6,Annual_Periods,0)) /
OFFSET($E$11,0,MATCH(T$6,Annual_Periods,0)),"NA")</f>
        <v>-2.6224070225835456</v>
      </c>
      <c r="U28" s="32" cm="1">
        <f t="array" aca="1" ref="U28" ca="1">IFERROR(OFFSET($E$6,ROW()-ROW(Annual_Periods),MATCH(U$6,Annual_Periods,0)) /
OFFSET($E$11,0,MATCH(U$6,Annual_Periods,0)),"NA")</f>
        <v>-1.4758824565848696</v>
      </c>
      <c r="V28" s="32" cm="1">
        <f t="array" aca="1" ref="V28" ca="1">IFERROR(OFFSET($E$6,ROW()-ROW(Annual_Periods),MATCH(V$6,Annual_Periods,0)) /
OFFSET($E$11,0,MATCH(V$6,Annual_Periods,0)),"NA")</f>
        <v>-0.37665448067512242</v>
      </c>
      <c r="W28" s="32" cm="1">
        <f t="array" aca="1" ref="W28" ca="1">IFERROR(OFFSET($E$6,ROW()-ROW(Annual_Periods),MATCH(W$6,Annual_Periods,0)) /
OFFSET($E$11,0,MATCH(W$6,Annual_Periods,0)),"NA")</f>
        <v>0.18094575514133457</v>
      </c>
      <c r="X28" s="32" cm="1">
        <f t="array" aca="1" ref="X28" ca="1">IFERROR(OFFSET($E$6,ROW()-ROW(Annual_Periods),MATCH(X$6,Annual_Periods,0)) /
OFFSET($E$11,0,MATCH(X$6,Annual_Periods,0)),"NA")</f>
        <v>0.22111382285991474</v>
      </c>
    </row>
    <row r="29" spans="3:32">
      <c r="D29" s="8" t="s">
        <v>106</v>
      </c>
      <c r="F29" s="12">
        <f ca="1">IFERROR(F28/F$11,"NA")</f>
        <v>-60.134521313766598</v>
      </c>
      <c r="G29" s="12">
        <f t="shared" ref="G29:H29" ca="1" si="14">IFERROR(G28/G$11,"NA")</f>
        <v>-19.255930193154864</v>
      </c>
      <c r="H29" s="12">
        <f t="shared" ca="1" si="14"/>
        <v>-11.968785620341956</v>
      </c>
      <c r="I29" s="12">
        <f ca="1">IFERROR(I28/I$11,"NA")</f>
        <v>-3.6950465649885276</v>
      </c>
      <c r="J29" s="12">
        <f ca="1">IFERROR(J28/J$11,"NA")</f>
        <v>-2.6224070225835456</v>
      </c>
      <c r="K29" s="12">
        <f t="shared" ref="K29:N29" ca="1" si="15">IFERROR(K28/K$11,"NA")</f>
        <v>-1.4758824565848696</v>
      </c>
      <c r="L29" s="12">
        <f t="shared" ca="1" si="15"/>
        <v>-0.37665448067512242</v>
      </c>
      <c r="M29" s="12">
        <f t="shared" ca="1" si="15"/>
        <v>0.18094575514133457</v>
      </c>
      <c r="N29" s="12">
        <f t="shared" ca="1" si="15"/>
        <v>0.22111382285991474</v>
      </c>
    </row>
    <row r="30" spans="3:32">
      <c r="D30" s="8" t="s">
        <v>107</v>
      </c>
      <c r="F30" s="12">
        <f ca="1">IFERROR(F24/F$11,"NA")</f>
        <v>-60.901467505241094</v>
      </c>
      <c r="G30" s="12">
        <f t="shared" ref="G30:I30" ca="1" si="16">IFERROR(G24/G$11,"NA")</f>
        <v>-19.484496780752288</v>
      </c>
      <c r="H30" s="12">
        <f t="shared" ca="1" si="16"/>
        <v>-12.080885576501535</v>
      </c>
      <c r="I30" s="12">
        <f t="shared" ca="1" si="16"/>
        <v>-3.7447698744769875</v>
      </c>
      <c r="J30" s="12">
        <f ca="1">IFERROR(J24/J$11,"NA")</f>
        <v>-2.6499999999999995</v>
      </c>
      <c r="K30" s="12">
        <f t="shared" ref="K30:N30" ca="1" si="17">IFERROR(K24/K$11,"NA")</f>
        <v>-1.4999999999999998</v>
      </c>
      <c r="L30" s="12">
        <f t="shared" ca="1" si="17"/>
        <v>-0.40000000000000008</v>
      </c>
      <c r="M30" s="12">
        <f t="shared" ca="1" si="17"/>
        <v>0.15999999999999995</v>
      </c>
      <c r="N30" s="12">
        <f t="shared" ca="1" si="17"/>
        <v>0.20000000000000007</v>
      </c>
    </row>
    <row r="31" spans="3:32" ht="6" customHeight="1"/>
    <row r="32" spans="3:32">
      <c r="D32" s="21" t="s">
        <v>108</v>
      </c>
      <c r="F32" s="20"/>
      <c r="G32" s="20"/>
      <c r="H32" s="20"/>
      <c r="I32" s="20"/>
      <c r="J32" s="20"/>
      <c r="K32" s="20"/>
      <c r="L32" s="20"/>
      <c r="M32" s="20"/>
      <c r="N32" s="20"/>
      <c r="P32" s="20"/>
      <c r="Q32" s="20"/>
      <c r="R32" s="20"/>
      <c r="S32" s="20"/>
      <c r="T32" s="20"/>
      <c r="U32" s="20"/>
      <c r="V32" s="20"/>
      <c r="W32" s="20"/>
      <c r="X32" s="20"/>
      <c r="Z32" s="20"/>
      <c r="AA32" s="20"/>
      <c r="AB32" s="20"/>
      <c r="AC32" s="20"/>
      <c r="AD32" s="20"/>
    </row>
    <row r="33" spans="4:30">
      <c r="D33" s="7" t="s">
        <v>109</v>
      </c>
      <c r="F33" s="493" t="s">
        <v>110</v>
      </c>
      <c r="G33" s="494">
        <v>3760</v>
      </c>
      <c r="H33" s="494">
        <v>10792</v>
      </c>
      <c r="I33" s="493">
        <v>0</v>
      </c>
      <c r="J33" s="458">
        <f t="shared" ref="J33" ca="1" si="18">J$11*(Z33)</f>
        <v>0</v>
      </c>
      <c r="K33" s="458">
        <f t="shared" ref="K33" ca="1" si="19">K$11*(AA33)</f>
        <v>0</v>
      </c>
      <c r="L33" s="458">
        <f t="shared" ref="L33" ca="1" si="20">L$11*(AB33)</f>
        <v>0</v>
      </c>
      <c r="M33" s="458">
        <f t="shared" ref="M33" ca="1" si="21">M$11*(AC33)</f>
        <v>0</v>
      </c>
      <c r="N33" s="458">
        <f t="shared" ref="N33" ca="1" si="22">N$11*(AD33)</f>
        <v>0</v>
      </c>
      <c r="P33" s="29" t="str" cm="1">
        <f t="array" aca="1" ref="P33" ca="1">IFERROR(ABS(OFFSET($E$6,ROW()-ROW(Annual_Periods),MATCH(P$6,Annual_Periods,0)) /
OFFSET($E$11,0,MATCH(P$6,Annual_Periods,0))),"NA")</f>
        <v>NA</v>
      </c>
      <c r="Q33" s="29" cm="1">
        <f t="array" aca="1" ref="Q33" ca="1">IFERROR(ABS(OFFSET($E$6,ROW()-ROW(Annual_Periods),MATCH(Q$6,Annual_Periods,0)) /
OFFSET($E$11,0,MATCH(Q$6,Annual_Periods,0))),"NA")</f>
        <v>0.3185360894611996</v>
      </c>
      <c r="R33" s="29" cm="1">
        <f t="array" aca="1" ref="R33" ca="1">IFERROR(ABS(OFFSET($E$6,ROW()-ROW(Annual_Periods),MATCH(R$6,Annual_Periods,0)) /
OFFSET($E$11,0,MATCH(R$6,Annual_Periods,0))),"NA")</f>
        <v>0.47312582200789127</v>
      </c>
      <c r="S33" s="29" cm="1">
        <f t="array" aca="1" ref="S33" ca="1">IFERROR(ABS(OFFSET($E$6,ROW()-ROW(Annual_Periods),MATCH(S$6,Annual_Periods,0)) /
OFFSET($E$11,0,MATCH(S$6,Annual_Periods,0))),"NA")</f>
        <v>0</v>
      </c>
      <c r="T33" s="29" cm="1">
        <f t="array" aca="1" ref="T33" ca="1">IFERROR(ABS(OFFSET($E$6,ROW()-ROW(Annual_Periods),MATCH(T$6,Annual_Periods,0)) /
OFFSET($E$11,0,MATCH(T$6,Annual_Periods,0))),"NA")</f>
        <v>0</v>
      </c>
      <c r="U33" s="29" cm="1">
        <f t="array" aca="1" ref="U33" ca="1">IFERROR(ABS(OFFSET($E$6,ROW()-ROW(Annual_Periods),MATCH(U$6,Annual_Periods,0)) /
OFFSET($E$11,0,MATCH(U$6,Annual_Periods,0))),"NA")</f>
        <v>0</v>
      </c>
      <c r="V33" s="29" cm="1">
        <f t="array" aca="1" ref="V33" ca="1">IFERROR(ABS(OFFSET($E$6,ROW()-ROW(Annual_Periods),MATCH(V$6,Annual_Periods,0)) /
OFFSET($E$11,0,MATCH(V$6,Annual_Periods,0))),"NA")</f>
        <v>0</v>
      </c>
      <c r="W33" s="29" cm="1">
        <f t="array" aca="1" ref="W33" ca="1">IFERROR(ABS(OFFSET($E$6,ROW()-ROW(Annual_Periods),MATCH(W$6,Annual_Periods,0)) /
OFFSET($E$11,0,MATCH(W$6,Annual_Periods,0))),"NA")</f>
        <v>0</v>
      </c>
      <c r="X33" s="29" cm="1">
        <f t="array" aca="1" ref="X33" ca="1">IFERROR(ABS(OFFSET($E$6,ROW()-ROW(Annual_Periods),MATCH(X$6,Annual_Periods,0)) /
OFFSET($E$11,0,MATCH(X$6,Annual_Periods,0))),"NA")</f>
        <v>0</v>
      </c>
      <c r="Z33" s="104"/>
      <c r="AA33" s="104"/>
      <c r="AB33" s="104"/>
      <c r="AC33" s="104"/>
      <c r="AD33" s="104"/>
    </row>
    <row r="34" spans="4:30">
      <c r="D34" s="7" t="s">
        <v>111</v>
      </c>
      <c r="F34" s="494">
        <v>-1715</v>
      </c>
      <c r="G34" s="493" t="s">
        <v>110</v>
      </c>
      <c r="H34" s="493" t="s">
        <v>110</v>
      </c>
      <c r="I34" s="493" t="s">
        <v>110</v>
      </c>
      <c r="J34" s="458">
        <f ca="1">J$11*(Z34)</f>
        <v>0</v>
      </c>
      <c r="K34" s="458">
        <f t="shared" ref="K34" ca="1" si="23">K$11*(AA34)</f>
        <v>0</v>
      </c>
      <c r="L34" s="458">
        <f t="shared" ref="L34" ca="1" si="24">L$11*(AB34)</f>
        <v>0</v>
      </c>
      <c r="M34" s="458">
        <f t="shared" ref="M34" ca="1" si="25">M$11*(AC34)</f>
        <v>0</v>
      </c>
      <c r="N34" s="458">
        <f t="shared" ref="N34" ca="1" si="26">N$11*(AD34)</f>
        <v>0</v>
      </c>
      <c r="P34" s="29" cm="1">
        <f t="array" aca="1" ref="P34" ca="1">IFERROR(ABS(OFFSET($E$6,ROW()-ROW(Annual_Periods),MATCH(P$6,Annual_Periods,0)) /
OFFSET($E$11,0,MATCH(P$6,Annual_Periods,0))),"NA")</f>
        <v>0.59923130677847658</v>
      </c>
      <c r="Q34" s="29" t="str" cm="1">
        <f t="array" aca="1" ref="Q34" ca="1">IFERROR(ABS(OFFSET($E$6,ROW()-ROW(Annual_Periods),MATCH(Q$6,Annual_Periods,0)) /
OFFSET($E$11,0,MATCH(Q$6,Annual_Periods,0))),"NA")</f>
        <v>NA</v>
      </c>
      <c r="R34" s="29" t="str" cm="1">
        <f t="array" aca="1" ref="R34" ca="1">IFERROR(ABS(OFFSET($E$6,ROW()-ROW(Annual_Periods),MATCH(R$6,Annual_Periods,0)) /
OFFSET($E$11,0,MATCH(R$6,Annual_Periods,0))),"NA")</f>
        <v>NA</v>
      </c>
      <c r="S34" s="29" t="str" cm="1">
        <f t="array" aca="1" ref="S34" ca="1">IFERROR(ABS(OFFSET($E$6,ROW()-ROW(Annual_Periods),MATCH(S$6,Annual_Periods,0)) /
OFFSET($E$11,0,MATCH(S$6,Annual_Periods,0))),"NA")</f>
        <v>NA</v>
      </c>
      <c r="T34" s="29" cm="1">
        <f t="array" aca="1" ref="T34" ca="1">IFERROR(ABS(OFFSET($E$6,ROW()-ROW(Annual_Periods),MATCH(T$6,Annual_Periods,0)) /
OFFSET($E$11,0,MATCH(T$6,Annual_Periods,0))),"NA")</f>
        <v>0</v>
      </c>
      <c r="U34" s="29" cm="1">
        <f t="array" aca="1" ref="U34" ca="1">IFERROR(ABS(OFFSET($E$6,ROW()-ROW(Annual_Periods),MATCH(U$6,Annual_Periods,0)) /
OFFSET($E$11,0,MATCH(U$6,Annual_Periods,0))),"NA")</f>
        <v>0</v>
      </c>
      <c r="V34" s="29" cm="1">
        <f t="array" aca="1" ref="V34" ca="1">IFERROR(ABS(OFFSET($E$6,ROW()-ROW(Annual_Periods),MATCH(V$6,Annual_Periods,0)) /
OFFSET($E$11,0,MATCH(V$6,Annual_Periods,0))),"NA")</f>
        <v>0</v>
      </c>
      <c r="W34" s="29" cm="1">
        <f t="array" aca="1" ref="W34" ca="1">IFERROR(ABS(OFFSET($E$6,ROW()-ROW(Annual_Periods),MATCH(W$6,Annual_Periods,0)) /
OFFSET($E$11,0,MATCH(W$6,Annual_Periods,0))),"NA")</f>
        <v>0</v>
      </c>
      <c r="X34" s="29" cm="1">
        <f t="array" aca="1" ref="X34" ca="1">IFERROR(ABS(OFFSET($E$6,ROW()-ROW(Annual_Periods),MATCH(X$6,Annual_Periods,0)) /
OFFSET($E$11,0,MATCH(X$6,Annual_Periods,0))),"NA")</f>
        <v>0</v>
      </c>
      <c r="Z34" s="104"/>
      <c r="AA34" s="104"/>
      <c r="AB34" s="104"/>
      <c r="AC34" s="104"/>
      <c r="AD34" s="104"/>
    </row>
    <row r="35" spans="4:30">
      <c r="D35" s="3" t="s">
        <v>112</v>
      </c>
      <c r="F35" s="471">
        <f ca="1">SUBTOTAL(9,OFFSET(F32,1,0):OFFSET(F35,-1,0))</f>
        <v>-1715</v>
      </c>
      <c r="G35" s="471">
        <f ca="1">SUBTOTAL(9,OFFSET(G32,1,0):OFFSET(G35,-1,0))</f>
        <v>3760</v>
      </c>
      <c r="H35" s="471">
        <f ca="1">SUBTOTAL(9,OFFSET(H32,1,0):OFFSET(H35,-1,0))</f>
        <v>10792</v>
      </c>
      <c r="I35" s="471">
        <f ca="1">SUBTOTAL(9,OFFSET(I32,1,0):OFFSET(I35,-1,0))</f>
        <v>0</v>
      </c>
      <c r="J35" s="471">
        <f ca="1">SUBTOTAL(9,OFFSET(J32,1,0):OFFSET(J35,-1,0))</f>
        <v>0</v>
      </c>
      <c r="K35" s="471">
        <f ca="1">SUBTOTAL(9,OFFSET(K32,1,0):OFFSET(K35,-1,0))</f>
        <v>0</v>
      </c>
      <c r="L35" s="471">
        <f ca="1">SUBTOTAL(9,OFFSET(L32,1,0):OFFSET(L35,-1,0))</f>
        <v>0</v>
      </c>
      <c r="M35" s="471">
        <f ca="1">SUBTOTAL(9,OFFSET(M32,1,0):OFFSET(M35,-1,0))</f>
        <v>0</v>
      </c>
      <c r="N35" s="471">
        <f ca="1">SUBTOTAL(9,OFFSET(N32,1,0):OFFSET(N35,-1,0))</f>
        <v>0</v>
      </c>
      <c r="P35" s="30" cm="1">
        <f t="array" aca="1" ref="P35" ca="1">IFERROR(ABS(OFFSET($E$6,ROW()-ROW(Annual_Periods),MATCH(P$6,Annual_Periods,0)) /
OFFSET($E$11,0,MATCH(P$6,Annual_Periods,0))),"NA")</f>
        <v>0.59923130677847658</v>
      </c>
      <c r="Q35" s="30" cm="1">
        <f t="array" aca="1" ref="Q35" ca="1">IFERROR(ABS(OFFSET($E$6,ROW()-ROW(Annual_Periods),MATCH(Q$6,Annual_Periods,0)) /
OFFSET($E$11,0,MATCH(Q$6,Annual_Periods,0))),"NA")</f>
        <v>0.3185360894611996</v>
      </c>
      <c r="R35" s="30" cm="1">
        <f t="array" aca="1" ref="R35" ca="1">IFERROR(ABS(OFFSET($E$6,ROW()-ROW(Annual_Periods),MATCH(R$6,Annual_Periods,0)) /
OFFSET($E$11,0,MATCH(R$6,Annual_Periods,0))),"NA")</f>
        <v>0.47312582200789127</v>
      </c>
      <c r="S35" s="30" cm="1">
        <f t="array" aca="1" ref="S35" ca="1">IFERROR(ABS(OFFSET($E$6,ROW()-ROW(Annual_Periods),MATCH(S$6,Annual_Periods,0)) /
OFFSET($E$11,0,MATCH(S$6,Annual_Periods,0))),"NA")</f>
        <v>0</v>
      </c>
      <c r="T35" s="30" cm="1">
        <f t="array" aca="1" ref="T35" ca="1">IFERROR(ABS(OFFSET($E$6,ROW()-ROW(Annual_Periods),MATCH(T$6,Annual_Periods,0)) /
OFFSET($E$11,0,MATCH(T$6,Annual_Periods,0))),"NA")</f>
        <v>0</v>
      </c>
      <c r="U35" s="30" cm="1">
        <f t="array" aca="1" ref="U35" ca="1">IFERROR(ABS(OFFSET($E$6,ROW()-ROW(Annual_Periods),MATCH(U$6,Annual_Periods,0)) /
OFFSET($E$11,0,MATCH(U$6,Annual_Periods,0))),"NA")</f>
        <v>0</v>
      </c>
      <c r="V35" s="30" cm="1">
        <f t="array" aca="1" ref="V35" ca="1">IFERROR(ABS(OFFSET($E$6,ROW()-ROW(Annual_Periods),MATCH(V$6,Annual_Periods,0)) /
OFFSET($E$11,0,MATCH(V$6,Annual_Periods,0))),"NA")</f>
        <v>0</v>
      </c>
      <c r="W35" s="30" cm="1">
        <f t="array" aca="1" ref="W35" ca="1">IFERROR(ABS(OFFSET($E$6,ROW()-ROW(Annual_Periods),MATCH(W$6,Annual_Periods,0)) /
OFFSET($E$11,0,MATCH(W$6,Annual_Periods,0))),"NA")</f>
        <v>0</v>
      </c>
      <c r="X35" s="30" cm="1">
        <f t="array" aca="1" ref="X35" ca="1">IFERROR(ABS(OFFSET($E$6,ROW()-ROW(Annual_Periods),MATCH(X$6,Annual_Periods,0)) /
OFFSET($E$11,0,MATCH(X$6,Annual_Periods,0))),"NA")</f>
        <v>0</v>
      </c>
    </row>
    <row r="36" spans="4:30">
      <c r="D36" s="6" t="s">
        <v>113</v>
      </c>
      <c r="F36" s="9">
        <f t="shared" ref="F36:N36" ca="1" si="27">F24+F35</f>
        <v>-176015</v>
      </c>
      <c r="G36" s="9">
        <f t="shared" ca="1" si="27"/>
        <v>-226235</v>
      </c>
      <c r="H36" s="9">
        <f t="shared" ca="1" si="27"/>
        <v>-264773</v>
      </c>
      <c r="I36" s="9">
        <f t="shared" ca="1" si="27"/>
        <v>-138725</v>
      </c>
      <c r="J36" s="9">
        <f t="shared" ca="1" si="27"/>
        <v>-137436.94999999998</v>
      </c>
      <c r="K36" s="9">
        <f t="shared" ca="1" si="27"/>
        <v>-124471.19999999998</v>
      </c>
      <c r="L36" s="9">
        <f t="shared" ca="1" si="27"/>
        <v>-66384.640000000014</v>
      </c>
      <c r="M36" s="9">
        <f t="shared" ca="1" si="27"/>
        <v>58418.483199999988</v>
      </c>
      <c r="N36" s="9">
        <f t="shared" ca="1" si="27"/>
        <v>131441.58720000007</v>
      </c>
      <c r="P36" s="32" cm="1">
        <f t="array" aca="1" ref="P36" ca="1">IFERROR(OFFSET($E$6,ROW()-ROW(Annual_Periods),MATCH(P$6,Annual_Periods,0)) /
OFFSET($E$11,0,MATCH(P$6,Annual_Periods,0)),"NA")</f>
        <v>-61.500698812019564</v>
      </c>
      <c r="Q36" s="32" cm="1">
        <f t="array" aca="1" ref="Q36" ca="1">IFERROR(OFFSET($E$6,ROW()-ROW(Annual_Periods),MATCH(Q$6,Annual_Periods,0)) /
OFFSET($E$11,0,MATCH(Q$6,Annual_Periods,0)),"NA")</f>
        <v>-19.165960691291087</v>
      </c>
      <c r="R36" s="32" cm="1">
        <f t="array" aca="1" ref="R36" ca="1">IFERROR(OFFSET($E$6,ROW()-ROW(Annual_Periods),MATCH(R$6,Annual_Periods,0)) /
OFFSET($E$11,0,MATCH(R$6,Annual_Periods,0)),"NA")</f>
        <v>-11.607759754493642</v>
      </c>
      <c r="S36" s="32" cm="1">
        <f t="array" aca="1" ref="S36" ca="1">IFERROR(OFFSET($E$6,ROW()-ROW(Annual_Periods),MATCH(S$6,Annual_Periods,0)) /
OFFSET($E$11,0,MATCH(S$6,Annual_Periods,0)),"NA")</f>
        <v>-3.7447698744769875</v>
      </c>
      <c r="T36" s="32" cm="1">
        <f t="array" aca="1" ref="T36" ca="1">IFERROR(OFFSET($E$6,ROW()-ROW(Annual_Periods),MATCH(T$6,Annual_Periods,0)) /
OFFSET($E$11,0,MATCH(T$6,Annual_Periods,0)),"NA")</f>
        <v>-2.6499999999999995</v>
      </c>
      <c r="U36" s="32" cm="1">
        <f t="array" aca="1" ref="U36" ca="1">IFERROR(OFFSET($E$6,ROW()-ROW(Annual_Periods),MATCH(U$6,Annual_Periods,0)) /
OFFSET($E$11,0,MATCH(U$6,Annual_Periods,0)),"NA")</f>
        <v>-1.4999999999999998</v>
      </c>
      <c r="V36" s="32" cm="1">
        <f t="array" aca="1" ref="V36" ca="1">IFERROR(OFFSET($E$6,ROW()-ROW(Annual_Periods),MATCH(V$6,Annual_Periods,0)) /
OFFSET($E$11,0,MATCH(V$6,Annual_Periods,0)),"NA")</f>
        <v>-0.40000000000000008</v>
      </c>
      <c r="W36" s="32" cm="1">
        <f t="array" aca="1" ref="W36" ca="1">IFERROR(OFFSET($E$6,ROW()-ROW(Annual_Periods),MATCH(W$6,Annual_Periods,0)) /
OFFSET($E$11,0,MATCH(W$6,Annual_Periods,0)),"NA")</f>
        <v>0.15999999999999995</v>
      </c>
      <c r="X36" s="32" cm="1">
        <f t="array" aca="1" ref="X36" ca="1">IFERROR(OFFSET($E$6,ROW()-ROW(Annual_Periods),MATCH(X$6,Annual_Periods,0)) /
OFFSET($E$11,0,MATCH(X$6,Annual_Periods,0)),"NA")</f>
        <v>0.20000000000000007</v>
      </c>
    </row>
    <row r="37" spans="4:30" ht="6" customHeight="1"/>
    <row r="38" spans="4:30">
      <c r="D38" s="21" t="s">
        <v>114</v>
      </c>
      <c r="F38" s="20"/>
      <c r="G38" s="20"/>
      <c r="H38" s="20"/>
      <c r="I38" s="20"/>
      <c r="J38" s="20"/>
      <c r="K38" s="20"/>
      <c r="L38" s="20"/>
      <c r="M38" s="20"/>
      <c r="N38" s="20"/>
      <c r="P38" s="20"/>
      <c r="Q38" s="20"/>
      <c r="R38" s="20"/>
      <c r="S38" s="20"/>
      <c r="T38" s="20"/>
      <c r="U38" s="20"/>
      <c r="V38" s="20"/>
      <c r="W38" s="20"/>
      <c r="X38" s="20"/>
      <c r="Z38" s="20"/>
      <c r="AA38" s="20"/>
      <c r="AB38" s="20"/>
      <c r="AC38" s="20"/>
      <c r="AD38" s="20"/>
    </row>
    <row r="39" spans="4:30">
      <c r="D39" s="7" t="s">
        <v>115</v>
      </c>
      <c r="F39" s="481"/>
      <c r="G39" s="481"/>
      <c r="H39" s="481"/>
      <c r="I39" s="481"/>
      <c r="J39" s="482">
        <f ca="1">-J$36*(Z39)</f>
        <v>0</v>
      </c>
      <c r="K39" s="482">
        <f t="shared" ref="K39:N39" ca="1" si="28">-K$36*(AA39)</f>
        <v>0</v>
      </c>
      <c r="L39" s="482">
        <f t="shared" ca="1" si="28"/>
        <v>0</v>
      </c>
      <c r="M39" s="482">
        <f t="shared" ca="1" si="28"/>
        <v>0</v>
      </c>
      <c r="N39" s="482">
        <f t="shared" ca="1" si="28"/>
        <v>0</v>
      </c>
      <c r="P39" s="29">
        <f ca="1">-F39/F36</f>
        <v>0</v>
      </c>
      <c r="Q39" s="29">
        <f ca="1">-G39/G36</f>
        <v>0</v>
      </c>
      <c r="R39" s="29">
        <f t="shared" ref="R39" ca="1" si="29">-H39/H36</f>
        <v>0</v>
      </c>
      <c r="S39" s="29">
        <f ca="1">-I39/I36</f>
        <v>0</v>
      </c>
      <c r="T39" s="29">
        <f ca="1">-J39/J36</f>
        <v>0</v>
      </c>
      <c r="U39" s="29">
        <f t="shared" ref="U39:X39" ca="1" si="30">-K39/K36</f>
        <v>0</v>
      </c>
      <c r="V39" s="29">
        <f t="shared" ca="1" si="30"/>
        <v>0</v>
      </c>
      <c r="W39" s="29">
        <f t="shared" ca="1" si="30"/>
        <v>0</v>
      </c>
      <c r="X39" s="29">
        <f t="shared" ca="1" si="30"/>
        <v>0</v>
      </c>
      <c r="Z39" s="104"/>
      <c r="AA39" s="104"/>
      <c r="AB39" s="104"/>
      <c r="AC39" s="104"/>
      <c r="AD39" s="104"/>
    </row>
    <row r="40" spans="4:30">
      <c r="D40" s="6" t="s">
        <v>116</v>
      </c>
      <c r="F40" s="483">
        <f ca="1">F36+F39</f>
        <v>-176015</v>
      </c>
      <c r="G40" s="483">
        <f ca="1">G36+G39</f>
        <v>-226235</v>
      </c>
      <c r="H40" s="483">
        <f ca="1">H36+H39</f>
        <v>-264773</v>
      </c>
      <c r="I40" s="483">
        <f ca="1">I36+I39</f>
        <v>-138725</v>
      </c>
      <c r="J40" s="483">
        <f ca="1">J36+J39</f>
        <v>-137436.94999999998</v>
      </c>
      <c r="K40" s="483">
        <f t="shared" ref="K40:M40" ca="1" si="31">K36+K39</f>
        <v>-124471.19999999998</v>
      </c>
      <c r="L40" s="483">
        <f t="shared" ca="1" si="31"/>
        <v>-66384.640000000014</v>
      </c>
      <c r="M40" s="483">
        <f t="shared" ca="1" si="31"/>
        <v>58418.483199999988</v>
      </c>
      <c r="N40" s="483">
        <f t="shared" ref="N40" ca="1" si="32">N36+N39</f>
        <v>131441.58720000007</v>
      </c>
      <c r="P40" s="32" cm="1">
        <f t="array" aca="1" ref="P40" ca="1">IFERROR(OFFSET($E$6,ROW()-ROW(Annual_Periods),MATCH(P$6,Annual_Periods,0)) /
OFFSET($E$11,0,MATCH(P$6,Annual_Periods,0)),"NA")</f>
        <v>-61.500698812019564</v>
      </c>
      <c r="Q40" s="32" cm="1">
        <f t="array" aca="1" ref="Q40" ca="1">IFERROR(OFFSET($E$6,ROW()-ROW(Annual_Periods),MATCH(Q$6,Annual_Periods,0)) /
OFFSET($E$11,0,MATCH(Q$6,Annual_Periods,0)),"NA")</f>
        <v>-19.165960691291087</v>
      </c>
      <c r="R40" s="32" cm="1">
        <f t="array" aca="1" ref="R40" ca="1">IFERROR(OFFSET($E$6,ROW()-ROW(Annual_Periods),MATCH(R$6,Annual_Periods,0)) /
OFFSET($E$11,0,MATCH(R$6,Annual_Periods,0)),"NA")</f>
        <v>-11.607759754493642</v>
      </c>
      <c r="S40" s="32" cm="1">
        <f t="array" aca="1" ref="S40" ca="1">IFERROR(OFFSET($E$6,ROW()-ROW(Annual_Periods),MATCH(S$6,Annual_Periods,0)) /
OFFSET($E$11,0,MATCH(S$6,Annual_Periods,0)),"NA")</f>
        <v>-3.7447698744769875</v>
      </c>
      <c r="T40" s="32" cm="1">
        <f t="array" aca="1" ref="T40" ca="1">IFERROR(OFFSET($E$6,ROW()-ROW(Annual_Periods),MATCH(T$6,Annual_Periods,0)) /
OFFSET($E$11,0,MATCH(T$6,Annual_Periods,0)),"NA")</f>
        <v>-2.6499999999999995</v>
      </c>
      <c r="U40" s="32" cm="1">
        <f t="array" aca="1" ref="U40" ca="1">IFERROR(OFFSET($E$6,ROW()-ROW(Annual_Periods),MATCH(U$6,Annual_Periods,0)) /
OFFSET($E$11,0,MATCH(U$6,Annual_Periods,0)),"NA")</f>
        <v>-1.4999999999999998</v>
      </c>
      <c r="V40" s="32" cm="1">
        <f t="array" aca="1" ref="V40" ca="1">IFERROR(OFFSET($E$6,ROW()-ROW(Annual_Periods),MATCH(V$6,Annual_Periods,0)) /
OFFSET($E$11,0,MATCH(V$6,Annual_Periods,0)),"NA")</f>
        <v>-0.40000000000000008</v>
      </c>
      <c r="W40" s="32" cm="1">
        <f t="array" aca="1" ref="W40" ca="1">IFERROR(OFFSET($E$6,ROW()-ROW(Annual_Periods),MATCH(W$6,Annual_Periods,0)) /
OFFSET($E$11,0,MATCH(W$6,Annual_Periods,0)),"NA")</f>
        <v>0.15999999999999995</v>
      </c>
      <c r="X40" s="32" cm="1">
        <f t="array" aca="1" ref="X40" ca="1">IFERROR(OFFSET($E$6,ROW()-ROW(Annual_Periods),MATCH(X$6,Annual_Periods,0)) /
OFFSET($E$11,0,MATCH(X$6,Annual_Periods,0)),"NA")</f>
        <v>0.20000000000000007</v>
      </c>
    </row>
    <row r="41" spans="4:30">
      <c r="D41" s="8" t="s">
        <v>117</v>
      </c>
      <c r="F41" s="12">
        <f t="shared" ref="F41:M41" ca="1" si="33">IFERROR(F40/F$11,"NA")</f>
        <v>-61.500698812019564</v>
      </c>
      <c r="G41" s="12">
        <f t="shared" ca="1" si="33"/>
        <v>-19.165960691291087</v>
      </c>
      <c r="H41" s="12">
        <f t="shared" ca="1" si="33"/>
        <v>-11.607759754493642</v>
      </c>
      <c r="I41" s="12">
        <f ca="1">IFERROR(I40/I$11,"NA")</f>
        <v>-3.7447698744769875</v>
      </c>
      <c r="J41" s="12">
        <f ca="1">IFERROR(J40/J$11,"NA")</f>
        <v>-2.6499999999999995</v>
      </c>
      <c r="K41" s="12">
        <f ca="1">IFERROR(K40/K$11,"NA")</f>
        <v>-1.4999999999999998</v>
      </c>
      <c r="L41" s="12">
        <f t="shared" ca="1" si="33"/>
        <v>-0.40000000000000008</v>
      </c>
      <c r="M41" s="12">
        <f t="shared" ca="1" si="33"/>
        <v>0.15999999999999995</v>
      </c>
      <c r="N41" s="12">
        <f t="shared" ref="N41" ca="1" si="34">IFERROR(N40/N$11,"NA")</f>
        <v>0.20000000000000007</v>
      </c>
    </row>
    <row r="42" spans="4:30" ht="6" customHeight="1"/>
    <row r="43" spans="4:30">
      <c r="D43" s="21" t="s">
        <v>118</v>
      </c>
      <c r="F43" s="20"/>
      <c r="G43" s="20"/>
      <c r="H43" s="20"/>
      <c r="I43" s="20"/>
      <c r="J43" s="20"/>
      <c r="K43" s="20"/>
      <c r="L43" s="20"/>
      <c r="M43" s="20"/>
      <c r="N43" s="20"/>
    </row>
    <row r="44" spans="4:30">
      <c r="D44" s="86" t="s">
        <v>119</v>
      </c>
      <c r="F44" s="472"/>
      <c r="G44" s="472" t="str">
        <f t="shared" ref="G44:J44" ca="1" si="35">OFFSET(G47,0,-1)</f>
        <v>-</v>
      </c>
      <c r="H44" s="472">
        <f t="shared" ca="1" si="35"/>
        <v>296748</v>
      </c>
      <c r="I44" s="472">
        <f t="shared" ca="1" si="35"/>
        <v>333888</v>
      </c>
      <c r="J44" s="472">
        <f t="shared" ca="1" si="35"/>
        <v>995745</v>
      </c>
      <c r="K44" s="472">
        <f ca="1">OFFSET(K47,0,-1)</f>
        <v>858308.05</v>
      </c>
      <c r="L44" s="472">
        <f t="shared" ref="L44:M44" ca="1" si="36">OFFSET(L47,0,-1)</f>
        <v>733836.85000000009</v>
      </c>
      <c r="M44" s="472">
        <f t="shared" ca="1" si="36"/>
        <v>667452.21000000008</v>
      </c>
      <c r="N44" s="472">
        <f t="shared" ref="N44" ca="1" si="37">OFFSET(N47,0,-1)</f>
        <v>725870.6932000001</v>
      </c>
    </row>
    <row r="45" spans="4:30">
      <c r="D45" s="86" t="s">
        <v>30</v>
      </c>
      <c r="F45" s="472">
        <f ca="1">F$40</f>
        <v>-176015</v>
      </c>
      <c r="G45" s="472">
        <f t="shared" ref="G45:I45" ca="1" si="38">G$40</f>
        <v>-226235</v>
      </c>
      <c r="H45" s="472">
        <f t="shared" ca="1" si="38"/>
        <v>-264773</v>
      </c>
      <c r="I45" s="472">
        <f t="shared" ca="1" si="38"/>
        <v>-138725</v>
      </c>
      <c r="J45" s="472">
        <f t="shared" ref="J45:N45" ca="1" si="39">J$40</f>
        <v>-137436.94999999998</v>
      </c>
      <c r="K45" s="472">
        <f t="shared" ca="1" si="39"/>
        <v>-124471.19999999998</v>
      </c>
      <c r="L45" s="472">
        <f t="shared" ca="1" si="39"/>
        <v>-66384.640000000014</v>
      </c>
      <c r="M45" s="472">
        <f t="shared" ca="1" si="39"/>
        <v>58418.483199999988</v>
      </c>
      <c r="N45" s="472">
        <f t="shared" ca="1" si="39"/>
        <v>131441.58720000007</v>
      </c>
    </row>
    <row r="46" spans="4:30">
      <c r="D46" s="8" t="s">
        <v>120</v>
      </c>
      <c r="F46" s="472" t="e">
        <f ca="1">F47-F45-F44</f>
        <v>#VALUE!</v>
      </c>
      <c r="G46" s="472" t="e">
        <f ca="1">G47-G45-G44</f>
        <v>#VALUE!</v>
      </c>
      <c r="H46" s="472">
        <f t="shared" ref="H46" ca="1" si="40">H47-H45-H44</f>
        <v>301913</v>
      </c>
      <c r="I46" s="472">
        <f ca="1">I47-I45-I44</f>
        <v>800582</v>
      </c>
      <c r="J46" s="461">
        <v>0</v>
      </c>
      <c r="K46" s="461">
        <v>0</v>
      </c>
      <c r="L46" s="461">
        <v>0</v>
      </c>
      <c r="M46" s="461">
        <v>0</v>
      </c>
      <c r="N46" s="461">
        <v>0</v>
      </c>
    </row>
    <row r="47" spans="4:30">
      <c r="D47" s="92" t="s">
        <v>121</v>
      </c>
      <c r="F47" s="9" t="str">
        <f>F$94</f>
        <v>-</v>
      </c>
      <c r="G47" s="9">
        <f t="shared" ref="G47:I47" si="41">G$94</f>
        <v>296748</v>
      </c>
      <c r="H47" s="9">
        <f t="shared" si="41"/>
        <v>333888</v>
      </c>
      <c r="I47" s="9">
        <f t="shared" si="41"/>
        <v>995745</v>
      </c>
      <c r="J47" s="9">
        <f ca="1">SUBTOTAL(9,OFFSET(J43,1,0):OFFSET(J47,-1,0))</f>
        <v>858308.05</v>
      </c>
      <c r="K47" s="9">
        <f ca="1">SUBTOTAL(9,OFFSET(K43,1,0):OFFSET(K47,-1,0))</f>
        <v>733836.85000000009</v>
      </c>
      <c r="L47" s="9">
        <f ca="1">SUBTOTAL(9,OFFSET(L43,1,0):OFFSET(L47,-1,0))</f>
        <v>667452.21000000008</v>
      </c>
      <c r="M47" s="9">
        <f ca="1">SUBTOTAL(9,OFFSET(M43,1,0):OFFSET(M47,-1,0))</f>
        <v>725870.6932000001</v>
      </c>
      <c r="N47" s="9">
        <f ca="1">SUBTOTAL(9,OFFSET(N43,1,0):OFFSET(N47,-1,0))</f>
        <v>857312.28040000016</v>
      </c>
    </row>
    <row r="48" spans="4:30" ht="6" customHeight="1">
      <c r="D48" s="16"/>
    </row>
    <row r="49" spans="1:14">
      <c r="A49" s="94" t="s">
        <v>83</v>
      </c>
      <c r="B49" s="520" t="s">
        <v>122</v>
      </c>
      <c r="D49" s="10" t="s">
        <v>123</v>
      </c>
      <c r="F49" s="11"/>
      <c r="G49" s="11"/>
      <c r="H49" s="11"/>
      <c r="I49" s="11"/>
      <c r="J49" s="11"/>
      <c r="K49" s="11"/>
      <c r="L49" s="11"/>
      <c r="M49" s="11"/>
      <c r="N49" s="11"/>
    </row>
    <row r="50" spans="1:14">
      <c r="B50" s="520"/>
      <c r="D50" s="22" t="s">
        <v>124</v>
      </c>
      <c r="F50" s="20"/>
      <c r="G50" s="20"/>
      <c r="H50" s="20"/>
      <c r="I50" s="20"/>
      <c r="J50" s="20"/>
      <c r="K50" s="20"/>
      <c r="L50" s="20"/>
      <c r="M50" s="20"/>
      <c r="N50" s="20"/>
    </row>
    <row r="51" spans="1:14">
      <c r="D51" s="13" t="s">
        <v>125</v>
      </c>
    </row>
    <row r="52" spans="1:14">
      <c r="B52" s="24" t="s">
        <v>126</v>
      </c>
      <c r="D52" s="14" t="s">
        <v>127</v>
      </c>
      <c r="F52" s="495">
        <v>77094</v>
      </c>
      <c r="G52" s="495">
        <v>217685</v>
      </c>
      <c r="H52" s="495">
        <v>120265</v>
      </c>
      <c r="I52" s="495">
        <v>401556</v>
      </c>
      <c r="J52" s="473">
        <f ca="1">J126</f>
        <v>210462.66571362031</v>
      </c>
      <c r="K52" s="473">
        <f ca="1">K126</f>
        <v>120513.8589752956</v>
      </c>
      <c r="L52" s="473">
        <f ca="1">L126</f>
        <v>70552.732543599006</v>
      </c>
      <c r="M52" s="473">
        <f ca="1">M126</f>
        <v>228742.56445263303</v>
      </c>
      <c r="N52" s="473">
        <f ca="1">N126</f>
        <v>629682.63492784463</v>
      </c>
    </row>
    <row r="53" spans="1:14">
      <c r="B53" s="24" t="s">
        <v>126</v>
      </c>
      <c r="D53" s="14" t="s">
        <v>128</v>
      </c>
      <c r="F53" s="496">
        <v>0</v>
      </c>
      <c r="G53" s="496">
        <v>0</v>
      </c>
      <c r="H53" s="496">
        <v>0</v>
      </c>
      <c r="I53" s="495">
        <v>40000</v>
      </c>
      <c r="J53" s="473">
        <f>I53</f>
        <v>40000</v>
      </c>
      <c r="K53" s="473">
        <f t="shared" ref="K53:N53" si="42">J53</f>
        <v>40000</v>
      </c>
      <c r="L53" s="473">
        <f t="shared" si="42"/>
        <v>40000</v>
      </c>
      <c r="M53" s="473">
        <f t="shared" si="42"/>
        <v>40000</v>
      </c>
      <c r="N53" s="473">
        <f t="shared" si="42"/>
        <v>40000</v>
      </c>
    </row>
    <row r="54" spans="1:14">
      <c r="B54" s="24" t="s">
        <v>129</v>
      </c>
      <c r="D54" s="14" t="s">
        <v>130</v>
      </c>
      <c r="F54" s="495">
        <v>4833</v>
      </c>
      <c r="G54" s="495">
        <v>11199</v>
      </c>
      <c r="H54" s="495">
        <v>10127</v>
      </c>
      <c r="I54" s="495">
        <v>21104</v>
      </c>
      <c r="J54" s="473">
        <f ca="1">J140</f>
        <v>21313.561643835616</v>
      </c>
      <c r="K54" s="473">
        <f ca="1">K140</f>
        <v>34101.698630136983</v>
      </c>
      <c r="L54" s="473">
        <f ca="1">L140</f>
        <v>65929.950684931508</v>
      </c>
      <c r="M54" s="473">
        <f ca="1">M140</f>
        <v>145045.89150684932</v>
      </c>
      <c r="N54" s="473">
        <f ca="1">N140</f>
        <v>261082.60471232882</v>
      </c>
    </row>
    <row r="55" spans="1:14">
      <c r="B55" s="24" t="s">
        <v>129</v>
      </c>
      <c r="D55" s="14" t="s">
        <v>131</v>
      </c>
      <c r="F55" s="496">
        <v>0</v>
      </c>
      <c r="G55" s="496">
        <v>0</v>
      </c>
      <c r="H55" s="496">
        <v>0</v>
      </c>
      <c r="I55" s="496">
        <v>0</v>
      </c>
      <c r="J55" s="473">
        <f ca="1">J146</f>
        <v>0</v>
      </c>
      <c r="K55" s="473">
        <f ca="1">K146</f>
        <v>0</v>
      </c>
      <c r="L55" s="473">
        <f ca="1">L146</f>
        <v>0</v>
      </c>
      <c r="M55" s="473">
        <f ca="1">M146</f>
        <v>0</v>
      </c>
      <c r="N55" s="473">
        <f ca="1">N146</f>
        <v>0</v>
      </c>
    </row>
    <row r="56" spans="1:14">
      <c r="B56" s="24" t="s">
        <v>129</v>
      </c>
      <c r="D56" s="14" t="s">
        <v>132</v>
      </c>
      <c r="F56" s="496">
        <v>0</v>
      </c>
      <c r="G56" s="496">
        <v>0</v>
      </c>
      <c r="H56" s="495">
        <v>5100</v>
      </c>
      <c r="I56" s="495">
        <v>5100</v>
      </c>
      <c r="J56" s="473">
        <f ca="1">J152</f>
        <v>6223.5599999999995</v>
      </c>
      <c r="K56" s="473">
        <f ca="1">K152</f>
        <v>8298.08</v>
      </c>
      <c r="L56" s="473">
        <f ca="1">L152</f>
        <v>13276.928</v>
      </c>
      <c r="M56" s="473">
        <f ca="1">M152</f>
        <v>29209.241600000001</v>
      </c>
      <c r="N56" s="473">
        <f ca="1">N152</f>
        <v>32860.39680000001</v>
      </c>
    </row>
    <row r="57" spans="1:14">
      <c r="B57" s="24" t="s">
        <v>129</v>
      </c>
      <c r="D57" s="14" t="s">
        <v>133</v>
      </c>
      <c r="F57" s="495">
        <v>4147</v>
      </c>
      <c r="G57" s="495">
        <v>5531</v>
      </c>
      <c r="H57" s="495">
        <v>19054</v>
      </c>
      <c r="I57" s="495">
        <v>3377</v>
      </c>
      <c r="J57" s="473">
        <f ca="1">J157</f>
        <v>17368.2</v>
      </c>
      <c r="K57" s="473">
        <f t="shared" ref="K57:N57" ca="1" si="43">K157</f>
        <v>12447.119999999999</v>
      </c>
      <c r="L57" s="473">
        <f t="shared" ca="1" si="43"/>
        <v>33192.32</v>
      </c>
      <c r="M57" s="473">
        <f t="shared" ca="1" si="43"/>
        <v>79661.568000000014</v>
      </c>
      <c r="N57" s="473">
        <f t="shared" ca="1" si="43"/>
        <v>116836.96640000006</v>
      </c>
    </row>
    <row r="58" spans="1:14">
      <c r="D58" s="15" t="s">
        <v>134</v>
      </c>
      <c r="F58" s="9">
        <f ca="1">SUBTOTAL(9,OFFSET(F51,1,0):OFFSET(F58,-1,0))</f>
        <v>86074</v>
      </c>
      <c r="G58" s="9">
        <f ca="1">SUBTOTAL(9,OFFSET(G51,1,0):OFFSET(G58,-1,0))</f>
        <v>234415</v>
      </c>
      <c r="H58" s="9">
        <f ca="1">SUBTOTAL(9,OFFSET(H51,1,0):OFFSET(H58,-1,0))</f>
        <v>154546</v>
      </c>
      <c r="I58" s="9">
        <f ca="1">SUBTOTAL(9,OFFSET(I51,1,0):OFFSET(I58,-1,0))</f>
        <v>471137</v>
      </c>
      <c r="J58" s="9">
        <f ca="1">SUBTOTAL(9,OFFSET(J51,1,0):OFFSET(J58,-1,0))</f>
        <v>295367.98735745595</v>
      </c>
      <c r="K58" s="9">
        <f ca="1">SUBTOTAL(9,OFFSET(K51,1,0):OFFSET(K58,-1,0))</f>
        <v>215360.75760543259</v>
      </c>
      <c r="L58" s="9">
        <f ca="1">SUBTOTAL(9,OFFSET(L51,1,0):OFFSET(L58,-1,0))</f>
        <v>222951.93122853054</v>
      </c>
      <c r="M58" s="9">
        <f ca="1">SUBTOTAL(9,OFFSET(M51,1,0):OFFSET(M58,-1,0))</f>
        <v>522659.26555948239</v>
      </c>
      <c r="N58" s="9">
        <f ca="1">SUBTOTAL(9,OFFSET(N51,1,0):OFFSET(N58,-1,0))</f>
        <v>1080462.6028401735</v>
      </c>
    </row>
    <row r="59" spans="1:14" ht="6" customHeight="1">
      <c r="D59" s="16"/>
    </row>
    <row r="60" spans="1:14">
      <c r="D60" s="18" t="s">
        <v>135</v>
      </c>
    </row>
    <row r="61" spans="1:14">
      <c r="B61" s="24" t="s">
        <v>136</v>
      </c>
      <c r="D61" s="498" t="s">
        <v>137</v>
      </c>
      <c r="F61" s="497">
        <v>4960</v>
      </c>
      <c r="G61" s="497">
        <v>4770</v>
      </c>
      <c r="H61" s="497">
        <v>4116</v>
      </c>
      <c r="I61" s="497">
        <v>2421</v>
      </c>
      <c r="J61" s="467">
        <f ca="1">J184</f>
        <v>2783.8229999999999</v>
      </c>
      <c r="K61" s="467">
        <f t="shared" ref="K61:N61" ca="1" si="44">K184</f>
        <v>3691.2728999999999</v>
      </c>
      <c r="L61" s="467">
        <f t="shared" ca="1" si="44"/>
        <v>6069.0846299999994</v>
      </c>
      <c r="M61" s="467">
        <f t="shared" ca="1" si="44"/>
        <v>11915.785161</v>
      </c>
      <c r="N61" s="467">
        <f t="shared" ca="1" si="44"/>
        <v>22142.416268700003</v>
      </c>
    </row>
    <row r="62" spans="1:14">
      <c r="B62" s="24"/>
      <c r="D62" s="498" t="s">
        <v>138</v>
      </c>
      <c r="F62" s="497">
        <v>26391</v>
      </c>
      <c r="G62" s="497">
        <v>26214</v>
      </c>
      <c r="H62" s="497">
        <v>26037</v>
      </c>
      <c r="I62" s="497">
        <v>25859</v>
      </c>
      <c r="J62" s="467">
        <f>I62</f>
        <v>25859</v>
      </c>
      <c r="K62" s="467">
        <f t="shared" ref="K62:N62" si="45">J62</f>
        <v>25859</v>
      </c>
      <c r="L62" s="467">
        <f t="shared" si="45"/>
        <v>25859</v>
      </c>
      <c r="M62" s="467">
        <f t="shared" si="45"/>
        <v>25859</v>
      </c>
      <c r="N62" s="467">
        <f t="shared" si="45"/>
        <v>25859</v>
      </c>
    </row>
    <row r="63" spans="1:14">
      <c r="B63" s="24" t="s">
        <v>136</v>
      </c>
      <c r="D63" s="498" t="s">
        <v>139</v>
      </c>
      <c r="F63" s="493"/>
      <c r="G63" s="493"/>
      <c r="H63" s="493"/>
      <c r="I63" s="493"/>
      <c r="J63" s="467">
        <f ca="1">J192</f>
        <v>237.9875877495513</v>
      </c>
      <c r="K63" s="467">
        <f t="shared" ref="K63:N63" ca="1" si="46">K192</f>
        <v>419.3189466222201</v>
      </c>
      <c r="L63" s="467">
        <f t="shared" ca="1" si="46"/>
        <v>318.35586749690447</v>
      </c>
      <c r="M63" s="467">
        <f t="shared" ca="1" si="46"/>
        <v>635.21380280526455</v>
      </c>
      <c r="N63" s="467">
        <f t="shared" ca="1" si="46"/>
        <v>1096.6412426335328</v>
      </c>
    </row>
    <row r="64" spans="1:14">
      <c r="B64" s="24" t="s">
        <v>140</v>
      </c>
      <c r="D64" s="498" t="s">
        <v>141</v>
      </c>
      <c r="F64" s="497">
        <v>3772</v>
      </c>
      <c r="G64" s="497">
        <v>33236</v>
      </c>
      <c r="H64" s="497">
        <v>40159</v>
      </c>
      <c r="I64" s="497">
        <v>45256</v>
      </c>
      <c r="J64" s="467">
        <f>I64</f>
        <v>45256</v>
      </c>
      <c r="K64" s="467">
        <f t="shared" ref="K64:N65" si="47">J64</f>
        <v>45256</v>
      </c>
      <c r="L64" s="467">
        <f t="shared" si="47"/>
        <v>45256</v>
      </c>
      <c r="M64" s="467">
        <f t="shared" si="47"/>
        <v>45256</v>
      </c>
      <c r="N64" s="467">
        <f t="shared" si="47"/>
        <v>45256</v>
      </c>
    </row>
    <row r="65" spans="2:24">
      <c r="B65" s="24" t="s">
        <v>136</v>
      </c>
      <c r="D65" s="14"/>
      <c r="F65" s="33"/>
      <c r="G65" s="33"/>
      <c r="H65" s="33"/>
      <c r="I65" s="33"/>
      <c r="J65" s="467">
        <f>I65</f>
        <v>0</v>
      </c>
      <c r="K65" s="467">
        <f t="shared" si="47"/>
        <v>0</v>
      </c>
      <c r="L65" s="467">
        <f t="shared" si="47"/>
        <v>0</v>
      </c>
      <c r="M65" s="467">
        <f t="shared" si="47"/>
        <v>0</v>
      </c>
      <c r="N65" s="467">
        <f t="shared" si="47"/>
        <v>0</v>
      </c>
      <c r="Q65" s="485"/>
      <c r="R65" s="485"/>
      <c r="S65" s="485"/>
      <c r="T65" s="485"/>
      <c r="U65" s="485"/>
    </row>
    <row r="66" spans="2:24">
      <c r="D66" s="15" t="s">
        <v>142</v>
      </c>
      <c r="F66" s="9">
        <f ca="1">SUBTOTAL(9,OFFSET(F60,1,0):OFFSET(F66,-1,0))</f>
        <v>35123</v>
      </c>
      <c r="G66" s="9">
        <f ca="1">SUBTOTAL(9,OFFSET(G60,1,0):OFFSET(G66,-1,0))</f>
        <v>64220</v>
      </c>
      <c r="H66" s="9">
        <f ca="1">SUBTOTAL(9,OFFSET(H60,1,0):OFFSET(H66,-1,0))</f>
        <v>70312</v>
      </c>
      <c r="I66" s="9">
        <f ca="1">SUBTOTAL(9,OFFSET(I60,1,0):OFFSET(I66,-1,0))</f>
        <v>73536</v>
      </c>
      <c r="J66" s="9">
        <f ca="1">SUBTOTAL(9,OFFSET(J60,1,0):OFFSET(J66,-1,0))</f>
        <v>74136.810587749555</v>
      </c>
      <c r="K66" s="9">
        <f ca="1">SUBTOTAL(9,OFFSET(K60,1,0):OFFSET(K66,-1,0))</f>
        <v>75225.591846622221</v>
      </c>
      <c r="L66" s="9">
        <f ca="1">SUBTOTAL(9,OFFSET(L60,1,0):OFFSET(L66,-1,0))</f>
        <v>77502.440497496893</v>
      </c>
      <c r="M66" s="9">
        <f ca="1">SUBTOTAL(9,OFFSET(M60,1,0):OFFSET(M66,-1,0))</f>
        <v>83665.998963805265</v>
      </c>
      <c r="N66" s="9">
        <f ca="1">SUBTOTAL(9,OFFSET(N60,1,0):OFFSET(N66,-1,0))</f>
        <v>94354.057511333536</v>
      </c>
      <c r="P66" s="484"/>
      <c r="Q66" s="484"/>
      <c r="R66" s="484"/>
      <c r="S66" s="484"/>
      <c r="T66" s="484"/>
      <c r="U66" s="484"/>
      <c r="V66" s="484"/>
      <c r="W66" s="484"/>
      <c r="X66" s="484"/>
    </row>
    <row r="67" spans="2:24" ht="6" customHeight="1">
      <c r="D67" s="16"/>
    </row>
    <row r="68" spans="2:24">
      <c r="D68" s="17" t="s">
        <v>143</v>
      </c>
      <c r="F68" s="9">
        <f ca="1">SUBTOTAL(9,OFFSET(F50,1,0):OFFSET(F68,-1,0))</f>
        <v>121197</v>
      </c>
      <c r="G68" s="9">
        <f ca="1">SUBTOTAL(9,OFFSET(G50,1,0):OFFSET(G68,-1,0))</f>
        <v>298635</v>
      </c>
      <c r="H68" s="9">
        <f ca="1">SUBTOTAL(9,OFFSET(H50,1,0):OFFSET(H68,-1,0))</f>
        <v>224858</v>
      </c>
      <c r="I68" s="9">
        <f ca="1">SUBTOTAL(9,OFFSET(I50,1,0):OFFSET(I68,-1,0))</f>
        <v>544673</v>
      </c>
      <c r="J68" s="9">
        <f ca="1">SUBTOTAL(9,OFFSET(J50,1,0):OFFSET(J68,-1,0))</f>
        <v>369504.79794520547</v>
      </c>
      <c r="K68" s="9">
        <f ca="1">SUBTOTAL(9,OFFSET(K50,1,0):OFFSET(K68,-1,0))</f>
        <v>290586.34945205483</v>
      </c>
      <c r="L68" s="9">
        <f ca="1">SUBTOTAL(9,OFFSET(L50,1,0):OFFSET(L68,-1,0))</f>
        <v>300454.37172602746</v>
      </c>
      <c r="M68" s="9">
        <f ca="1">SUBTOTAL(9,OFFSET(M50,1,0):OFFSET(M68,-1,0))</f>
        <v>606325.26452328765</v>
      </c>
      <c r="N68" s="9">
        <f ca="1">SUBTOTAL(9,OFFSET(N50,1,0):OFFSET(N68,-1,0))</f>
        <v>1174816.6603515071</v>
      </c>
    </row>
    <row r="69" spans="2:24" ht="6" customHeight="1">
      <c r="D69" s="16"/>
    </row>
    <row r="70" spans="2:24">
      <c r="D70" s="22" t="s">
        <v>144</v>
      </c>
      <c r="F70" s="20"/>
      <c r="G70" s="20"/>
      <c r="H70" s="20"/>
      <c r="I70" s="415"/>
      <c r="J70" s="415"/>
      <c r="K70" s="415"/>
      <c r="L70" s="20"/>
      <c r="M70" s="20"/>
      <c r="N70" s="20"/>
    </row>
    <row r="71" spans="2:24">
      <c r="D71" s="18" t="s">
        <v>145</v>
      </c>
    </row>
    <row r="72" spans="2:24">
      <c r="B72" s="24" t="s">
        <v>146</v>
      </c>
      <c r="D72" s="498" t="s">
        <v>147</v>
      </c>
      <c r="F72" s="499">
        <v>22375</v>
      </c>
      <c r="G72" s="499">
        <v>27951</v>
      </c>
      <c r="H72" s="499">
        <v>44925</v>
      </c>
      <c r="I72" s="499">
        <v>47947</v>
      </c>
      <c r="J72" s="467">
        <f ca="1">J164</f>
        <v>28418.082191780821</v>
      </c>
      <c r="K72" s="467">
        <f t="shared" ref="K72:N72" ca="1" si="48">K164</f>
        <v>56836.164383561641</v>
      </c>
      <c r="L72" s="467">
        <f t="shared" ca="1" si="48"/>
        <v>113672.32876712328</v>
      </c>
      <c r="M72" s="467">
        <f t="shared" ca="1" si="48"/>
        <v>300094.94794520549</v>
      </c>
      <c r="N72" s="467">
        <f t="shared" ca="1" si="48"/>
        <v>630199.39068493154</v>
      </c>
    </row>
    <row r="73" spans="2:24">
      <c r="B73" s="24" t="s">
        <v>146</v>
      </c>
      <c r="D73" s="498" t="s">
        <v>148</v>
      </c>
      <c r="F73" s="499">
        <v>10552</v>
      </c>
      <c r="G73" s="499">
        <v>9038</v>
      </c>
      <c r="H73" s="499">
        <v>8546</v>
      </c>
      <c r="I73" s="499">
        <v>7330</v>
      </c>
      <c r="J73" s="467">
        <f ca="1">J170</f>
        <v>8525.4246575342459</v>
      </c>
      <c r="K73" s="467">
        <f t="shared" ref="K73:N73" ca="1" si="49">K170</f>
        <v>17050.849315068492</v>
      </c>
      <c r="L73" s="467">
        <f t="shared" ca="1" si="49"/>
        <v>34101.698630136983</v>
      </c>
      <c r="M73" s="467">
        <f t="shared" ca="1" si="49"/>
        <v>90028.484383561648</v>
      </c>
      <c r="N73" s="467">
        <f t="shared" ca="1" si="49"/>
        <v>189059.81720547948</v>
      </c>
    </row>
    <row r="74" spans="2:24">
      <c r="B74" s="24" t="s">
        <v>146</v>
      </c>
      <c r="D74" s="498" t="s">
        <v>149</v>
      </c>
      <c r="F74" s="496"/>
      <c r="G74" s="496"/>
      <c r="H74" s="496"/>
      <c r="I74" s="496">
        <v>762</v>
      </c>
      <c r="J74" s="496">
        <f>I74*1.1</f>
        <v>838.2</v>
      </c>
      <c r="K74" s="496">
        <f t="shared" ref="K74:N74" si="50">J74*1.1</f>
        <v>922.0200000000001</v>
      </c>
      <c r="L74" s="519">
        <f t="shared" si="50"/>
        <v>1014.2220000000002</v>
      </c>
      <c r="M74" s="519">
        <f t="shared" si="50"/>
        <v>1115.6442000000004</v>
      </c>
      <c r="N74" s="519">
        <f t="shared" si="50"/>
        <v>1227.2086200000006</v>
      </c>
    </row>
    <row r="75" spans="2:24">
      <c r="B75" s="24" t="s">
        <v>150</v>
      </c>
      <c r="D75" s="498" t="s">
        <v>151</v>
      </c>
      <c r="F75" s="496"/>
      <c r="G75" s="496"/>
      <c r="H75" s="496"/>
      <c r="I75" s="496"/>
      <c r="J75" s="467">
        <f ca="1">J205</f>
        <v>0</v>
      </c>
      <c r="K75" s="467">
        <f t="shared" ref="K75:N75" ca="1" si="51">K205</f>
        <v>0</v>
      </c>
      <c r="L75" s="467">
        <f t="shared" ca="1" si="51"/>
        <v>0</v>
      </c>
      <c r="M75" s="467">
        <f t="shared" ca="1" si="51"/>
        <v>0</v>
      </c>
      <c r="N75" s="467">
        <f t="shared" ca="1" si="51"/>
        <v>0</v>
      </c>
    </row>
    <row r="76" spans="2:24">
      <c r="B76" s="24" t="s">
        <v>146</v>
      </c>
      <c r="D76" s="498" t="s">
        <v>152</v>
      </c>
      <c r="F76" s="496"/>
      <c r="G76" s="496"/>
      <c r="H76" s="496"/>
      <c r="I76" s="496"/>
      <c r="J76" s="467">
        <f>I76</f>
        <v>0</v>
      </c>
      <c r="K76" s="467">
        <f t="shared" ref="K76:N76" si="52">J76</f>
        <v>0</v>
      </c>
      <c r="L76" s="467">
        <f t="shared" si="52"/>
        <v>0</v>
      </c>
      <c r="M76" s="467">
        <f t="shared" si="52"/>
        <v>0</v>
      </c>
      <c r="N76" s="467">
        <f t="shared" si="52"/>
        <v>0</v>
      </c>
    </row>
    <row r="77" spans="2:24">
      <c r="B77" s="24" t="s">
        <v>146</v>
      </c>
      <c r="D77" s="498" t="s">
        <v>153</v>
      </c>
      <c r="F77" s="499">
        <v>15481</v>
      </c>
      <c r="G77" s="499">
        <v>1568</v>
      </c>
      <c r="H77" s="499">
        <v>33987</v>
      </c>
      <c r="I77" s="499">
        <v>33683</v>
      </c>
      <c r="J77" s="467">
        <f ca="1">J176</f>
        <v>14209.04109589041</v>
      </c>
      <c r="K77" s="467">
        <f t="shared" ref="K77:N77" ca="1" si="53">K176</f>
        <v>22734.465753424658</v>
      </c>
      <c r="L77" s="467">
        <f t="shared" ca="1" si="53"/>
        <v>25007.912328767125</v>
      </c>
      <c r="M77" s="467">
        <f t="shared" ca="1" si="53"/>
        <v>30009.494794520549</v>
      </c>
      <c r="N77" s="467">
        <f t="shared" ca="1" si="53"/>
        <v>37811.963441095897</v>
      </c>
    </row>
    <row r="78" spans="2:24">
      <c r="D78" s="15" t="s">
        <v>154</v>
      </c>
      <c r="F78" s="9">
        <f ca="1">SUBTOTAL(9,OFFSET(F71,1,0):OFFSET(F78,-1,0))</f>
        <v>48408</v>
      </c>
      <c r="G78" s="9">
        <f ca="1">SUBTOTAL(9,OFFSET(G71,1,0):OFFSET(G78,-1,0))</f>
        <v>38557</v>
      </c>
      <c r="H78" s="9">
        <f ca="1">SUBTOTAL(9,OFFSET(H71,1,0):OFFSET(H78,-1,0))</f>
        <v>87458</v>
      </c>
      <c r="I78" s="9">
        <f ca="1">SUBTOTAL(9,OFFSET(I71,1,0):OFFSET(I78,-1,0))</f>
        <v>89722</v>
      </c>
      <c r="J78" s="9">
        <f ca="1">SUBTOTAL(9,OFFSET(J71,1,0):OFFSET(J78,-1,0))</f>
        <v>51990.747945205476</v>
      </c>
      <c r="K78" s="9">
        <f ca="1">SUBTOTAL(9,OFFSET(K71,1,0):OFFSET(K78,-1,0))</f>
        <v>97543.499452054792</v>
      </c>
      <c r="L78" s="9">
        <f ca="1">SUBTOTAL(9,OFFSET(L71,1,0):OFFSET(L78,-1,0))</f>
        <v>173796.16172602741</v>
      </c>
      <c r="M78" s="9">
        <f ca="1">SUBTOTAL(9,OFFSET(M71,1,0):OFFSET(M78,-1,0))</f>
        <v>421248.57132328767</v>
      </c>
      <c r="N78" s="9">
        <f ca="1">SUBTOTAL(9,OFFSET(N71,1,0):OFFSET(N78,-1,0))</f>
        <v>858298.37995150697</v>
      </c>
    </row>
    <row r="79" spans="2:24" ht="6" customHeight="1">
      <c r="D79" s="16"/>
    </row>
    <row r="80" spans="2:24">
      <c r="D80" s="18" t="s">
        <v>155</v>
      </c>
    </row>
    <row r="81" spans="2:21" hidden="1">
      <c r="B81" s="24" t="s">
        <v>150</v>
      </c>
      <c r="D81" s="498" t="s">
        <v>156</v>
      </c>
      <c r="F81" s="496"/>
      <c r="G81" s="496"/>
      <c r="H81" s="496"/>
      <c r="I81" s="496"/>
      <c r="J81" s="467">
        <f ca="1">J210</f>
        <v>0</v>
      </c>
      <c r="K81" s="467">
        <f t="shared" ref="K81:N81" ca="1" si="54">K210</f>
        <v>0</v>
      </c>
      <c r="L81" s="467">
        <f t="shared" ca="1" si="54"/>
        <v>0</v>
      </c>
      <c r="M81" s="467">
        <f t="shared" ca="1" si="54"/>
        <v>0</v>
      </c>
      <c r="N81" s="467">
        <f t="shared" ca="1" si="54"/>
        <v>0</v>
      </c>
    </row>
    <row r="82" spans="2:21" hidden="1">
      <c r="B82" s="24" t="s">
        <v>150</v>
      </c>
      <c r="D82" s="498" t="s">
        <v>157</v>
      </c>
      <c r="F82" s="496"/>
      <c r="G82" s="496"/>
      <c r="H82" s="496"/>
      <c r="I82" s="496"/>
      <c r="J82" s="467">
        <f>I82</f>
        <v>0</v>
      </c>
      <c r="K82" s="467">
        <f t="shared" ref="K82:N82" si="55">J82</f>
        <v>0</v>
      </c>
      <c r="L82" s="467">
        <f t="shared" si="55"/>
        <v>0</v>
      </c>
      <c r="M82" s="467">
        <f t="shared" si="55"/>
        <v>0</v>
      </c>
      <c r="N82" s="467">
        <f t="shared" si="55"/>
        <v>0</v>
      </c>
    </row>
    <row r="83" spans="2:21">
      <c r="B83" s="24" t="s">
        <v>158</v>
      </c>
      <c r="D83" s="498" t="s">
        <v>159</v>
      </c>
      <c r="F83" s="499">
        <v>1415</v>
      </c>
      <c r="G83" s="496">
        <v>856</v>
      </c>
      <c r="H83" s="496">
        <v>898</v>
      </c>
      <c r="I83" s="496">
        <v>181</v>
      </c>
      <c r="J83" s="467">
        <f t="shared" ref="J83:N84" si="56">I83</f>
        <v>181</v>
      </c>
      <c r="K83" s="467">
        <f t="shared" si="56"/>
        <v>181</v>
      </c>
      <c r="L83" s="467">
        <f t="shared" si="56"/>
        <v>181</v>
      </c>
      <c r="M83" s="467">
        <f t="shared" si="56"/>
        <v>181</v>
      </c>
      <c r="N83" s="467">
        <f t="shared" si="56"/>
        <v>181</v>
      </c>
      <c r="P83" s="485"/>
      <c r="Q83" s="485"/>
      <c r="R83" s="485"/>
      <c r="S83" s="485"/>
      <c r="T83" s="485"/>
      <c r="U83" s="485"/>
    </row>
    <row r="84" spans="2:21">
      <c r="B84" s="24" t="s">
        <v>158</v>
      </c>
      <c r="D84" s="498" t="s">
        <v>160</v>
      </c>
      <c r="F84" s="499">
        <v>2976</v>
      </c>
      <c r="G84" s="499">
        <v>32135</v>
      </c>
      <c r="H84" s="499">
        <v>7164</v>
      </c>
      <c r="I84" s="499">
        <v>1650</v>
      </c>
      <c r="J84" s="467">
        <f t="shared" si="56"/>
        <v>1650</v>
      </c>
      <c r="K84" s="467">
        <f t="shared" si="56"/>
        <v>1650</v>
      </c>
      <c r="L84" s="467">
        <f t="shared" si="56"/>
        <v>1650</v>
      </c>
      <c r="M84" s="467">
        <f t="shared" si="56"/>
        <v>1650</v>
      </c>
      <c r="N84" s="467">
        <f t="shared" si="56"/>
        <v>1650</v>
      </c>
    </row>
    <row r="85" spans="2:21">
      <c r="D85" s="15" t="s">
        <v>161</v>
      </c>
      <c r="F85" s="9">
        <f ca="1">SUBTOTAL(9,OFFSET(F80,1,0):OFFSET(F85,-1,0))</f>
        <v>4391</v>
      </c>
      <c r="G85" s="9">
        <f ca="1">SUBTOTAL(9,OFFSET(G80,1,0):OFFSET(G85,-1,0))</f>
        <v>32991</v>
      </c>
      <c r="H85" s="9">
        <f ca="1">SUBTOTAL(9,OFFSET(H80,1,0):OFFSET(H85,-1,0))</f>
        <v>8062</v>
      </c>
      <c r="I85" s="9">
        <f ca="1">SUBTOTAL(9,OFFSET(I80,1,0):OFFSET(I85,-1,0))</f>
        <v>1831</v>
      </c>
      <c r="J85" s="9">
        <f ca="1">SUBTOTAL(9,OFFSET(J80,1,0):OFFSET(J85,-1,0))</f>
        <v>1831</v>
      </c>
      <c r="K85" s="9">
        <f ca="1">SUBTOTAL(9,OFFSET(K80,1,0):OFFSET(K85,-1,0))</f>
        <v>1831</v>
      </c>
      <c r="L85" s="9">
        <f ca="1">SUBTOTAL(9,OFFSET(L80,1,0):OFFSET(L85,-1,0))</f>
        <v>1831</v>
      </c>
      <c r="M85" s="9">
        <f ca="1">SUBTOTAL(9,OFFSET(M80,1,0):OFFSET(M85,-1,0))</f>
        <v>1831</v>
      </c>
      <c r="N85" s="9">
        <f ca="1">SUBTOTAL(9,OFFSET(N80,1,0):OFFSET(N85,-1,0))</f>
        <v>1831</v>
      </c>
    </row>
    <row r="86" spans="2:21" ht="6" customHeight="1">
      <c r="D86" s="16"/>
    </row>
    <row r="87" spans="2:21">
      <c r="D87" s="17" t="s">
        <v>162</v>
      </c>
      <c r="F87" s="9">
        <f ca="1">SUBTOTAL(9,OFFSET(F70,1,0):OFFSET(F87,-1,0))</f>
        <v>52799</v>
      </c>
      <c r="G87" s="9">
        <f ca="1">SUBTOTAL(9,OFFSET(G70,1,0):OFFSET(G87,-1,0))</f>
        <v>71548</v>
      </c>
      <c r="H87" s="9">
        <f ca="1">SUBTOTAL(9,OFFSET(H70,1,0):OFFSET(H87,-1,0))</f>
        <v>95520</v>
      </c>
      <c r="I87" s="9">
        <f ca="1">SUBTOTAL(9,OFFSET(I70,1,0):OFFSET(I87,-1,0))</f>
        <v>91553</v>
      </c>
      <c r="J87" s="9">
        <f ca="1">SUBTOTAL(9,OFFSET(J70,1,0):OFFSET(J87,-1,0))</f>
        <v>53821.747945205476</v>
      </c>
      <c r="K87" s="9">
        <f ca="1">SUBTOTAL(9,OFFSET(K70,1,0):OFFSET(K87,-1,0))</f>
        <v>99374.499452054792</v>
      </c>
      <c r="L87" s="9">
        <f ca="1">SUBTOTAL(9,OFFSET(L70,1,0):OFFSET(L87,-1,0))</f>
        <v>175627.16172602741</v>
      </c>
      <c r="M87" s="9">
        <f ca="1">SUBTOTAL(9,OFFSET(M70,1,0):OFFSET(M87,-1,0))</f>
        <v>423079.57132328767</v>
      </c>
      <c r="N87" s="9">
        <f ca="1">SUBTOTAL(9,OFFSET(N70,1,0):OFFSET(N87,-1,0))</f>
        <v>860129.37995150697</v>
      </c>
    </row>
    <row r="88" spans="2:21" ht="6" customHeight="1">
      <c r="D88" s="16"/>
    </row>
    <row r="89" spans="2:21">
      <c r="D89" s="22" t="s">
        <v>163</v>
      </c>
      <c r="F89" s="20"/>
      <c r="G89" s="20"/>
      <c r="H89" s="20"/>
      <c r="I89" s="20"/>
      <c r="J89" s="20"/>
      <c r="K89" s="20"/>
      <c r="L89" s="20"/>
      <c r="M89" s="20"/>
      <c r="N89" s="20"/>
    </row>
    <row r="90" spans="2:21">
      <c r="D90" s="500" t="s">
        <v>164</v>
      </c>
      <c r="F90" s="499">
        <v>28184</v>
      </c>
      <c r="G90" s="496">
        <v>23</v>
      </c>
      <c r="H90" s="496">
        <v>23</v>
      </c>
      <c r="I90" s="496">
        <v>27</v>
      </c>
      <c r="J90" s="467">
        <f>I90</f>
        <v>27</v>
      </c>
      <c r="K90" s="467">
        <f t="shared" ref="K90:N90" si="57">J90</f>
        <v>27</v>
      </c>
      <c r="L90" s="467">
        <f t="shared" si="57"/>
        <v>27</v>
      </c>
      <c r="M90" s="467">
        <f t="shared" si="57"/>
        <v>27</v>
      </c>
      <c r="N90" s="467">
        <f t="shared" si="57"/>
        <v>27</v>
      </c>
    </row>
    <row r="91" spans="2:21">
      <c r="D91" s="500" t="s">
        <v>165</v>
      </c>
      <c r="F91" s="499">
        <v>819694</v>
      </c>
      <c r="G91" s="496" t="s">
        <v>166</v>
      </c>
      <c r="H91" s="496" t="s">
        <v>166</v>
      </c>
      <c r="I91" s="496" t="s">
        <v>166</v>
      </c>
      <c r="J91" s="496" t="s">
        <v>166</v>
      </c>
      <c r="K91" s="496" t="s">
        <v>166</v>
      </c>
      <c r="L91" s="496" t="s">
        <v>166</v>
      </c>
      <c r="M91" s="496" t="s">
        <v>166</v>
      </c>
      <c r="N91" s="496" t="s">
        <v>166</v>
      </c>
    </row>
    <row r="92" spans="2:21">
      <c r="D92" s="500" t="s">
        <v>118</v>
      </c>
      <c r="F92" s="499">
        <v>-781620</v>
      </c>
      <c r="G92" s="499">
        <v>-182092</v>
      </c>
      <c r="H92" s="499">
        <v>-240454</v>
      </c>
      <c r="I92" s="499">
        <v>-377077</v>
      </c>
      <c r="J92" s="467">
        <f ca="1">J47</f>
        <v>858308.05</v>
      </c>
      <c r="K92" s="467">
        <f t="shared" ref="K92:M92" ca="1" si="58">K47</f>
        <v>733836.85000000009</v>
      </c>
      <c r="L92" s="467">
        <f t="shared" ca="1" si="58"/>
        <v>667452.21000000008</v>
      </c>
      <c r="M92" s="467">
        <f t="shared" ca="1" si="58"/>
        <v>725870.6932000001</v>
      </c>
      <c r="N92" s="467">
        <f ca="1">N47</f>
        <v>857312.28040000016</v>
      </c>
    </row>
    <row r="93" spans="2:21">
      <c r="D93" s="500" t="s">
        <v>167</v>
      </c>
      <c r="F93" s="496" t="s">
        <v>110</v>
      </c>
      <c r="G93" s="499">
        <f>162408-50000</f>
        <v>112408</v>
      </c>
      <c r="H93" s="499">
        <v>35881</v>
      </c>
      <c r="I93" s="499">
        <v>-165575</v>
      </c>
      <c r="J93" s="499">
        <f>AVERAGE(G92:I92)</f>
        <v>-266541</v>
      </c>
      <c r="K93" s="499">
        <f>AVERAGE(J93,H92:I92)</f>
        <v>-294690.66666666669</v>
      </c>
      <c r="L93" s="499">
        <f>AVERAGE(J93:K93,I92)</f>
        <v>-312769.55555555556</v>
      </c>
      <c r="M93" s="499">
        <f>AVERAGE(J93:L93)</f>
        <v>-291333.74074074073</v>
      </c>
      <c r="N93" s="499">
        <f>AVERAGE(K93:M93)</f>
        <v>-299597.98765432095</v>
      </c>
    </row>
    <row r="94" spans="2:21">
      <c r="D94" s="500" t="s">
        <v>168</v>
      </c>
      <c r="F94" s="496" t="s">
        <v>110</v>
      </c>
      <c r="G94" s="499">
        <v>296748</v>
      </c>
      <c r="H94" s="499">
        <v>333888</v>
      </c>
      <c r="I94" s="499">
        <v>995745</v>
      </c>
      <c r="J94" s="499">
        <v>0</v>
      </c>
      <c r="K94" s="499">
        <v>0</v>
      </c>
      <c r="L94" s="499">
        <v>0</v>
      </c>
      <c r="M94" s="499">
        <v>0</v>
      </c>
      <c r="N94" s="499">
        <v>0</v>
      </c>
    </row>
    <row r="95" spans="2:21">
      <c r="D95" s="500" t="s">
        <v>169</v>
      </c>
      <c r="F95" s="499">
        <v>2140</v>
      </c>
      <c r="G95" s="496" t="s">
        <v>110</v>
      </c>
      <c r="H95" s="496" t="s">
        <v>110</v>
      </c>
      <c r="I95" s="496"/>
      <c r="J95" s="467">
        <f>I95</f>
        <v>0</v>
      </c>
      <c r="K95" s="467">
        <f t="shared" ref="K95:N95" si="59">J95</f>
        <v>0</v>
      </c>
      <c r="L95" s="467">
        <f t="shared" si="59"/>
        <v>0</v>
      </c>
      <c r="M95" s="467">
        <f t="shared" si="59"/>
        <v>0</v>
      </c>
      <c r="N95" s="467">
        <f t="shared" si="59"/>
        <v>0</v>
      </c>
    </row>
    <row r="96" spans="2:21">
      <c r="D96" s="17" t="s">
        <v>170</v>
      </c>
      <c r="F96" s="9">
        <f ca="1">SUBTOTAL(9,OFFSET(F89,1,0):OFFSET(F96,-1,0))</f>
        <v>68398</v>
      </c>
      <c r="G96" s="9">
        <f ca="1">SUBTOTAL(9,OFFSET(G89,1,0):OFFSET(G96,-1,0))</f>
        <v>227087</v>
      </c>
      <c r="H96" s="9">
        <f ca="1">SUBTOTAL(9,OFFSET(H89,1,0):OFFSET(H96,-1,0))</f>
        <v>129338</v>
      </c>
      <c r="I96" s="9">
        <f ca="1">SUBTOTAL(9,OFFSET(I89,1,0):OFFSET(I96,-1,0))</f>
        <v>453120</v>
      </c>
      <c r="J96" s="9">
        <f ca="1">SUBTOTAL(9,OFFSET(J89,1,0):OFFSET(J96,-1,0))</f>
        <v>591794.05000000005</v>
      </c>
      <c r="K96" s="9">
        <f ca="1">SUBTOTAL(9,OFFSET(K89,1,0):OFFSET(K96,-1,0))</f>
        <v>439173.18333333341</v>
      </c>
      <c r="L96" s="9">
        <f ca="1">SUBTOTAL(9,OFFSET(L89,1,0):OFFSET(L96,-1,0))</f>
        <v>354709.65444444452</v>
      </c>
      <c r="M96" s="9">
        <f ca="1">SUBTOTAL(9,OFFSET(M89,1,0):OFFSET(M96,-1,0))</f>
        <v>434563.95245925937</v>
      </c>
      <c r="N96" s="9">
        <f ca="1">SUBTOTAL(9,OFFSET(N89,1,0):OFFSET(N96,-1,0))</f>
        <v>557741.29274567915</v>
      </c>
    </row>
    <row r="97" spans="1:14" ht="6" customHeight="1">
      <c r="D97" s="16"/>
    </row>
    <row r="98" spans="1:14">
      <c r="D98" s="17" t="s">
        <v>171</v>
      </c>
      <c r="F98" s="9">
        <f t="shared" ref="F98" ca="1" si="60">F87+F96</f>
        <v>121197</v>
      </c>
      <c r="G98" s="9">
        <f t="shared" ref="G98" ca="1" si="61">G87+G96</f>
        <v>298635</v>
      </c>
      <c r="H98" s="9">
        <f t="shared" ref="H98" ca="1" si="62">H87+H96</f>
        <v>224858</v>
      </c>
      <c r="I98" s="9">
        <f t="shared" ref="I98" ca="1" si="63">I87+I96</f>
        <v>544673</v>
      </c>
      <c r="J98" s="9">
        <f ca="1">J87+J96</f>
        <v>645615.79794520547</v>
      </c>
      <c r="K98" s="9">
        <f t="shared" ref="K98:M98" ca="1" si="64">K87+K96</f>
        <v>538547.6827853882</v>
      </c>
      <c r="L98" s="9">
        <f t="shared" ca="1" si="64"/>
        <v>530336.81617047195</v>
      </c>
      <c r="M98" s="9">
        <f t="shared" ca="1" si="64"/>
        <v>857643.5237825471</v>
      </c>
      <c r="N98" s="9">
        <f t="shared" ref="N98" ca="1" si="65">N87+N96</f>
        <v>1417870.672697186</v>
      </c>
    </row>
    <row r="99" spans="1:14" ht="6" customHeight="1">
      <c r="D99" s="16"/>
    </row>
    <row r="100" spans="1:14">
      <c r="D100" s="103" t="s">
        <v>172</v>
      </c>
      <c r="F100" s="23">
        <f ca="1">ROUND(F68-F98,0)</f>
        <v>0</v>
      </c>
      <c r="G100" s="23">
        <f t="shared" ref="G100" ca="1" si="66">ROUND(G68-G98,0)</f>
        <v>0</v>
      </c>
      <c r="H100" s="23">
        <f t="shared" ref="H100" ca="1" si="67">ROUND(H68-H98,0)</f>
        <v>0</v>
      </c>
      <c r="I100" s="23">
        <f t="shared" ref="I100" ca="1" si="68">ROUND(I68-I98,0)</f>
        <v>0</v>
      </c>
      <c r="J100" s="23">
        <f ca="1">ROUND(J68-J98,0)</f>
        <v>-276111</v>
      </c>
      <c r="K100" s="23">
        <f t="shared" ref="K100:M100" ca="1" si="69">ROUND(K68-K98,0)</f>
        <v>-247961</v>
      </c>
      <c r="L100" s="23">
        <f ca="1">ROUND(L68-L98,0)</f>
        <v>-229882</v>
      </c>
      <c r="M100" s="23">
        <f t="shared" ca="1" si="69"/>
        <v>-251318</v>
      </c>
      <c r="N100" s="23">
        <f t="shared" ref="N100" ca="1" si="70">ROUND(N68-N98,0)</f>
        <v>-243054</v>
      </c>
    </row>
    <row r="101" spans="1:14" ht="6" customHeight="1"/>
    <row r="102" spans="1:14">
      <c r="D102" s="26" t="s">
        <v>173</v>
      </c>
      <c r="F102" s="27"/>
      <c r="G102" s="27"/>
      <c r="H102" s="27"/>
      <c r="I102" s="27"/>
      <c r="J102" s="27"/>
      <c r="K102" s="27"/>
      <c r="L102" s="27"/>
      <c r="M102" s="27"/>
      <c r="N102" s="27"/>
    </row>
    <row r="103" spans="1:14">
      <c r="D103" s="25" t="s">
        <v>174</v>
      </c>
      <c r="F103" s="9">
        <f t="shared" ref="F103:N103" ca="1" si="71">SUMIF($B$49:$B$102,"STA",F$49:F$102)-SUMIF($B$49:$B$102,"STL",F$49:F$102)</f>
        <v>-39428</v>
      </c>
      <c r="G103" s="9">
        <f t="shared" ca="1" si="71"/>
        <v>-21827</v>
      </c>
      <c r="H103" s="9">
        <f t="shared" ca="1" si="71"/>
        <v>-53177</v>
      </c>
      <c r="I103" s="9">
        <f t="shared" ca="1" si="71"/>
        <v>-60141</v>
      </c>
      <c r="J103" s="9">
        <f ca="1">SUMIF($B$49:$B$102,"STA",J$49:J$102)-SUMIF($B$49:$B$102,"STL",J$49:J$102)</f>
        <v>-7085.4263013698583</v>
      </c>
      <c r="K103" s="9">
        <f t="shared" ca="1" si="71"/>
        <v>-42696.600821917804</v>
      </c>
      <c r="L103" s="9">
        <f t="shared" ca="1" si="71"/>
        <v>-61396.963041095907</v>
      </c>
      <c r="M103" s="9">
        <f t="shared" ca="1" si="71"/>
        <v>-167331.87021643831</v>
      </c>
      <c r="N103" s="9">
        <f t="shared" ca="1" si="71"/>
        <v>-447518.41203917807</v>
      </c>
    </row>
    <row r="104" spans="1:14">
      <c r="D104" s="28" t="s">
        <v>175</v>
      </c>
      <c r="F104" s="98">
        <f t="shared" ref="F104" ca="1" si="72">F103-OFFSET(F103,0,-1)</f>
        <v>-39428</v>
      </c>
      <c r="G104" s="98">
        <f t="shared" ref="G104" ca="1" si="73">G103-OFFSET(G103,0,-1)</f>
        <v>17601</v>
      </c>
      <c r="H104" s="98">
        <f t="shared" ref="H104" ca="1" si="74">H103-OFFSET(H103,0,-1)</f>
        <v>-31350</v>
      </c>
      <c r="I104" s="98">
        <f t="shared" ref="I104" ca="1" si="75">I103-OFFSET(I103,0,-1)</f>
        <v>-6964</v>
      </c>
      <c r="J104" s="98">
        <f t="shared" ref="J104:M104" ca="1" si="76">J103-OFFSET(J103,0,-1)</f>
        <v>53055.573698630142</v>
      </c>
      <c r="K104" s="98">
        <f t="shared" ca="1" si="76"/>
        <v>-35611.174520547946</v>
      </c>
      <c r="L104" s="98">
        <f t="shared" ca="1" si="76"/>
        <v>-18700.362219178103</v>
      </c>
      <c r="M104" s="98">
        <f t="shared" ca="1" si="76"/>
        <v>-105934.90717534241</v>
      </c>
      <c r="N104" s="98">
        <f t="shared" ref="N104" ca="1" si="77">N103-OFFSET(N103,0,-1)</f>
        <v>-280186.54182273976</v>
      </c>
    </row>
    <row r="105" spans="1:14" ht="6" customHeight="1"/>
    <row r="106" spans="1:14">
      <c r="A106" s="94" t="s">
        <v>83</v>
      </c>
      <c r="D106" s="10" t="s">
        <v>176</v>
      </c>
      <c r="F106" s="11"/>
      <c r="G106" s="11"/>
      <c r="H106" s="11"/>
      <c r="I106" s="11"/>
      <c r="J106" s="11"/>
      <c r="K106" s="11"/>
      <c r="L106" s="11"/>
      <c r="M106" s="11"/>
      <c r="N106" s="11"/>
    </row>
    <row r="107" spans="1:14">
      <c r="D107" s="22" t="s">
        <v>177</v>
      </c>
      <c r="F107" s="20"/>
      <c r="G107" s="20"/>
      <c r="H107" s="20"/>
      <c r="I107" s="20"/>
      <c r="J107" s="20"/>
      <c r="K107" s="20"/>
      <c r="L107" s="20"/>
      <c r="M107" s="20"/>
      <c r="N107" s="20"/>
    </row>
    <row r="108" spans="1:14">
      <c r="D108" s="86" t="s">
        <v>30</v>
      </c>
      <c r="F108" s="395"/>
      <c r="G108" s="395"/>
      <c r="H108" s="395"/>
      <c r="I108" s="395"/>
      <c r="J108" s="85">
        <f ca="1">J$40</f>
        <v>-137436.94999999998</v>
      </c>
      <c r="K108" s="85">
        <f t="shared" ref="K108:N108" ca="1" si="78">K$40</f>
        <v>-124471.19999999998</v>
      </c>
      <c r="L108" s="85">
        <f t="shared" ca="1" si="78"/>
        <v>-66384.640000000014</v>
      </c>
      <c r="M108" s="85">
        <f t="shared" ca="1" si="78"/>
        <v>58418.483199999988</v>
      </c>
      <c r="N108" s="85">
        <f t="shared" ca="1" si="78"/>
        <v>131441.58720000007</v>
      </c>
    </row>
    <row r="109" spans="1:14">
      <c r="D109" s="16" t="s">
        <v>175</v>
      </c>
      <c r="F109" s="395"/>
      <c r="G109" s="395"/>
      <c r="H109" s="395"/>
      <c r="I109" s="395"/>
      <c r="J109" s="85">
        <f ca="1">-J$104</f>
        <v>-53055.573698630142</v>
      </c>
      <c r="K109" s="85">
        <f t="shared" ref="K109:N109" ca="1" si="79">-K$104</f>
        <v>35611.174520547946</v>
      </c>
      <c r="L109" s="85">
        <f t="shared" ca="1" si="79"/>
        <v>18700.362219178103</v>
      </c>
      <c r="M109" s="85">
        <f t="shared" ca="1" si="79"/>
        <v>105934.90717534241</v>
      </c>
      <c r="N109" s="85">
        <f t="shared" ca="1" si="79"/>
        <v>280186.54182273976</v>
      </c>
    </row>
    <row r="110" spans="1:14">
      <c r="D110" s="86" t="s">
        <v>178</v>
      </c>
      <c r="F110" s="396"/>
      <c r="G110" s="396"/>
      <c r="H110" s="396"/>
      <c r="I110" s="396"/>
      <c r="J110" s="85">
        <f ca="1">-(J183+J191)</f>
        <v>1431.0545877495513</v>
      </c>
      <c r="K110" s="85">
        <f t="shared" ref="K110:N110" ca="1" si="80">-(K183+K191)</f>
        <v>2001.2930466222197</v>
      </c>
      <c r="L110" s="85">
        <f t="shared" ca="1" si="80"/>
        <v>3874.4597399876179</v>
      </c>
      <c r="M110" s="85">
        <f t="shared" ca="1" si="80"/>
        <v>7647.6202802210591</v>
      </c>
      <c r="N110" s="85">
        <f t="shared" ca="1" si="80"/>
        <v>13876.171942834131</v>
      </c>
    </row>
    <row r="111" spans="1:14">
      <c r="D111" s="87" t="s">
        <v>179</v>
      </c>
      <c r="F111" s="394"/>
      <c r="G111" s="394"/>
      <c r="H111" s="394"/>
      <c r="I111" s="394"/>
      <c r="J111" s="9">
        <f ca="1">SUBTOTAL(9,OFFSET(J107,1,0):OFFSET(J111,-1,0))</f>
        <v>-189061.46911088057</v>
      </c>
      <c r="K111" s="9">
        <f ca="1">SUBTOTAL(9,OFFSET(K107,1,0):OFFSET(K111,-1,0))</f>
        <v>-86858.732432829827</v>
      </c>
      <c r="L111" s="9">
        <f ca="1">SUBTOTAL(9,OFFSET(L107,1,0):OFFSET(L111,-1,0))</f>
        <v>-43809.818040834296</v>
      </c>
      <c r="M111" s="9">
        <f ca="1">SUBTOTAL(9,OFFSET(M107,1,0):OFFSET(M111,-1,0))</f>
        <v>172001.01065556344</v>
      </c>
      <c r="N111" s="9">
        <f ca="1">SUBTOTAL(9,OFFSET(N107,1,0):OFFSET(N111,-1,0))</f>
        <v>425504.30096557399</v>
      </c>
    </row>
    <row r="112" spans="1:14" ht="6" customHeight="1"/>
    <row r="113" spans="4:14">
      <c r="D113" s="22" t="s">
        <v>180</v>
      </c>
      <c r="F113" s="20"/>
      <c r="G113" s="20"/>
      <c r="H113" s="20"/>
      <c r="I113" s="20"/>
      <c r="J113" s="20"/>
      <c r="K113" s="20"/>
      <c r="L113" s="20"/>
      <c r="M113" s="20"/>
      <c r="N113" s="20"/>
    </row>
    <row r="114" spans="4:14">
      <c r="D114" s="86" t="s">
        <v>181</v>
      </c>
      <c r="F114" s="395"/>
      <c r="G114" s="395"/>
      <c r="H114" s="395"/>
      <c r="I114" s="395"/>
      <c r="J114" s="85">
        <f ca="1">-(J$182+J$190)</f>
        <v>-2031.8651754991024</v>
      </c>
      <c r="K114" s="85">
        <f t="shared" ref="K114:N114" ca="1" si="81">-(K$182+K$190)</f>
        <v>-3090.0743054948889</v>
      </c>
      <c r="L114" s="85">
        <f t="shared" ca="1" si="81"/>
        <v>-6151.3083908623021</v>
      </c>
      <c r="M114" s="85">
        <f t="shared" ca="1" si="81"/>
        <v>-13811.178746529418</v>
      </c>
      <c r="N114" s="85">
        <f t="shared" ca="1" si="81"/>
        <v>-24564.230490362403</v>
      </c>
    </row>
    <row r="115" spans="4:14">
      <c r="D115" s="87" t="s">
        <v>182</v>
      </c>
      <c r="F115" s="394"/>
      <c r="G115" s="394"/>
      <c r="H115" s="394"/>
      <c r="I115" s="394"/>
      <c r="J115" s="9">
        <f ca="1">SUBTOTAL(9,OFFSET(J113,1,0):OFFSET(J115,-1,0))</f>
        <v>-2031.8651754991024</v>
      </c>
      <c r="K115" s="9">
        <f ca="1">SUBTOTAL(9,OFFSET(K113,1,0):OFFSET(K115,-1,0))</f>
        <v>-3090.0743054948889</v>
      </c>
      <c r="L115" s="9">
        <f ca="1">SUBTOTAL(9,OFFSET(L113,1,0):OFFSET(L115,-1,0))</f>
        <v>-6151.3083908623021</v>
      </c>
      <c r="M115" s="9">
        <f ca="1">SUBTOTAL(9,OFFSET(M113,1,0):OFFSET(M115,-1,0))</f>
        <v>-13811.178746529418</v>
      </c>
      <c r="N115" s="9">
        <f ca="1">SUBTOTAL(9,OFFSET(N113,1,0):OFFSET(N115,-1,0))</f>
        <v>-24564.230490362403</v>
      </c>
    </row>
    <row r="116" spans="4:14" ht="6" customHeight="1"/>
    <row r="117" spans="4:14">
      <c r="D117" s="22" t="s">
        <v>183</v>
      </c>
      <c r="F117" s="20"/>
      <c r="G117" s="20"/>
      <c r="H117" s="20"/>
      <c r="I117" s="20"/>
      <c r="J117" s="20"/>
      <c r="K117" s="20"/>
      <c r="L117" s="20"/>
      <c r="M117" s="20"/>
      <c r="N117" s="20"/>
    </row>
    <row r="118" spans="4:14">
      <c r="D118" s="86" t="s">
        <v>184</v>
      </c>
      <c r="F118" s="396"/>
      <c r="G118" s="396"/>
      <c r="H118" s="396"/>
      <c r="I118" s="396"/>
      <c r="J118" s="85">
        <f>J46</f>
        <v>0</v>
      </c>
      <c r="K118" s="85">
        <f t="shared" ref="K118:N118" si="82">K46</f>
        <v>0</v>
      </c>
      <c r="L118" s="85">
        <f t="shared" si="82"/>
        <v>0</v>
      </c>
      <c r="M118" s="85">
        <f t="shared" si="82"/>
        <v>0</v>
      </c>
      <c r="N118" s="85">
        <f t="shared" si="82"/>
        <v>0</v>
      </c>
    </row>
    <row r="119" spans="4:14">
      <c r="D119" s="86" t="s">
        <v>185</v>
      </c>
      <c r="F119" s="393"/>
      <c r="G119" s="393"/>
      <c r="H119" s="393"/>
      <c r="I119" s="393"/>
      <c r="J119" s="85">
        <f ca="1">J199</f>
        <v>0</v>
      </c>
      <c r="K119" s="85">
        <f t="shared" ref="K119:N119" ca="1" si="83">K199</f>
        <v>0</v>
      </c>
      <c r="L119" s="85">
        <f t="shared" ca="1" si="83"/>
        <v>0</v>
      </c>
      <c r="M119" s="85">
        <f t="shared" ca="1" si="83"/>
        <v>0</v>
      </c>
      <c r="N119" s="85">
        <f t="shared" ca="1" si="83"/>
        <v>0</v>
      </c>
    </row>
    <row r="120" spans="4:14">
      <c r="D120" s="86" t="s">
        <v>186</v>
      </c>
      <c r="F120" s="393"/>
      <c r="G120" s="393"/>
      <c r="H120" s="393"/>
      <c r="I120" s="393"/>
      <c r="J120" s="85">
        <f>J204</f>
        <v>0</v>
      </c>
      <c r="K120" s="85">
        <f t="shared" ref="K120:N120" si="84">K204</f>
        <v>0</v>
      </c>
      <c r="L120" s="85">
        <f t="shared" si="84"/>
        <v>0</v>
      </c>
      <c r="M120" s="85">
        <f t="shared" si="84"/>
        <v>0</v>
      </c>
      <c r="N120" s="85">
        <f t="shared" si="84"/>
        <v>0</v>
      </c>
    </row>
    <row r="121" spans="4:14">
      <c r="D121" s="86" t="s">
        <v>187</v>
      </c>
      <c r="F121" s="393"/>
      <c r="G121" s="393"/>
      <c r="H121" s="393"/>
      <c r="I121" s="393"/>
      <c r="J121" s="85">
        <f ca="1">J209</f>
        <v>0</v>
      </c>
      <c r="K121" s="85">
        <f t="shared" ref="K121:N121" ca="1" si="85">K209</f>
        <v>0</v>
      </c>
      <c r="L121" s="85">
        <f t="shared" ca="1" si="85"/>
        <v>0</v>
      </c>
      <c r="M121" s="85">
        <f t="shared" ca="1" si="85"/>
        <v>0</v>
      </c>
      <c r="N121" s="85">
        <f t="shared" ca="1" si="85"/>
        <v>0</v>
      </c>
    </row>
    <row r="122" spans="4:14">
      <c r="D122" s="87" t="s">
        <v>188</v>
      </c>
      <c r="F122" s="394"/>
      <c r="G122" s="394"/>
      <c r="H122" s="394"/>
      <c r="I122" s="394"/>
      <c r="J122" s="9">
        <f ca="1">SUBTOTAL(9,OFFSET(J117,1,0):OFFSET(J122,-1,0))</f>
        <v>0</v>
      </c>
      <c r="K122" s="9">
        <f ca="1">SUBTOTAL(9,OFFSET(K117,1,0):OFFSET(K122,-1,0))</f>
        <v>0</v>
      </c>
      <c r="L122" s="9">
        <f ca="1">SUBTOTAL(9,OFFSET(L117,1,0):OFFSET(L122,-1,0))</f>
        <v>0</v>
      </c>
      <c r="M122" s="9">
        <f ca="1">SUBTOTAL(9,OFFSET(M117,1,0):OFFSET(M122,-1,0))</f>
        <v>0</v>
      </c>
      <c r="N122" s="9">
        <f ca="1">SUBTOTAL(9,OFFSET(N117,1,0):OFFSET(N122,-1,0))</f>
        <v>0</v>
      </c>
    </row>
    <row r="123" spans="4:14" ht="6" customHeight="1" thickBot="1"/>
    <row r="124" spans="4:14">
      <c r="D124" s="91" t="s">
        <v>189</v>
      </c>
      <c r="F124" s="397"/>
      <c r="G124" s="397"/>
      <c r="H124" s="397"/>
      <c r="I124" s="397"/>
      <c r="J124" s="93">
        <f ca="1">OFFSET(J126,0,-1)</f>
        <v>401556</v>
      </c>
      <c r="K124" s="93">
        <f t="shared" ref="K124:N124" ca="1" si="86">OFFSET(K126,0,-1)</f>
        <v>210462.66571362031</v>
      </c>
      <c r="L124" s="93">
        <f t="shared" ca="1" si="86"/>
        <v>120513.8589752956</v>
      </c>
      <c r="M124" s="93">
        <f t="shared" ca="1" si="86"/>
        <v>70552.732543599006</v>
      </c>
      <c r="N124" s="93">
        <f t="shared" ca="1" si="86"/>
        <v>228742.56445263303</v>
      </c>
    </row>
    <row r="125" spans="4:14">
      <c r="D125" s="8" t="s">
        <v>190</v>
      </c>
      <c r="F125" s="398"/>
      <c r="G125" s="398"/>
      <c r="H125" s="398"/>
      <c r="I125" s="398"/>
      <c r="J125" s="88">
        <f ca="1">SUM(J111,J115,J122)</f>
        <v>-191093.33428637969</v>
      </c>
      <c r="K125" s="88">
        <f ca="1">SUM(K111,K115,K122)</f>
        <v>-89948.806738324711</v>
      </c>
      <c r="L125" s="88">
        <f ca="1">SUM(L111,L115,L122)</f>
        <v>-49961.126431696597</v>
      </c>
      <c r="M125" s="88">
        <f ca="1">SUM(M111,M115,M122)</f>
        <v>158189.83190903402</v>
      </c>
      <c r="N125" s="88">
        <f ca="1">SUM(N111,N115,N122)</f>
        <v>400940.0704752116</v>
      </c>
    </row>
    <row r="126" spans="4:14" ht="12.6" thickBot="1">
      <c r="D126" s="89" t="s">
        <v>191</v>
      </c>
      <c r="F126" s="90">
        <f>F$52</f>
        <v>77094</v>
      </c>
      <c r="G126" s="90">
        <f t="shared" ref="G126:I126" si="87">G$52</f>
        <v>217685</v>
      </c>
      <c r="H126" s="90">
        <f t="shared" si="87"/>
        <v>120265</v>
      </c>
      <c r="I126" s="90">
        <f t="shared" si="87"/>
        <v>401556</v>
      </c>
      <c r="J126" s="90">
        <f t="shared" ref="J126:M126" ca="1" si="88">J124+J125</f>
        <v>210462.66571362031</v>
      </c>
      <c r="K126" s="90">
        <f t="shared" ca="1" si="88"/>
        <v>120513.8589752956</v>
      </c>
      <c r="L126" s="90">
        <f t="shared" ca="1" si="88"/>
        <v>70552.732543599006</v>
      </c>
      <c r="M126" s="90">
        <f t="shared" ca="1" si="88"/>
        <v>228742.56445263303</v>
      </c>
      <c r="N126" s="90">
        <f t="shared" ref="N126" ca="1" si="89">N124+N125</f>
        <v>629682.63492784463</v>
      </c>
    </row>
    <row r="127" spans="4:14">
      <c r="D127" s="103" t="s">
        <v>172</v>
      </c>
      <c r="F127" s="23"/>
      <c r="G127" s="23"/>
      <c r="H127" s="23"/>
      <c r="I127" s="23"/>
      <c r="J127" s="23">
        <f ca="1">ROUND(J52-J126,0)</f>
        <v>0</v>
      </c>
      <c r="K127" s="23">
        <f ca="1">ROUND(K52-K126,0)</f>
        <v>0</v>
      </c>
      <c r="L127" s="23">
        <f ca="1">ROUND(L52-L126,0)</f>
        <v>0</v>
      </c>
      <c r="M127" s="23">
        <f ca="1">ROUND(M52-M126,0)</f>
        <v>0</v>
      </c>
      <c r="N127" s="23">
        <f ca="1">ROUND(N52-N126,0)</f>
        <v>0</v>
      </c>
    </row>
    <row r="128" spans="4:14" ht="6" customHeight="1"/>
    <row r="129" spans="1:16">
      <c r="A129" s="94" t="s">
        <v>83</v>
      </c>
      <c r="D129" s="10" t="s">
        <v>192</v>
      </c>
      <c r="F129" s="11"/>
      <c r="G129" s="11"/>
      <c r="H129" s="11"/>
      <c r="I129" s="11"/>
      <c r="J129" s="11"/>
      <c r="K129" s="11"/>
      <c r="L129" s="11"/>
      <c r="M129" s="11"/>
      <c r="N129" s="11"/>
    </row>
    <row r="130" spans="1:16">
      <c r="D130" s="86" t="s">
        <v>193</v>
      </c>
      <c r="J130" s="85">
        <f t="shared" ref="J130:M130" ca="1" si="90">J111</f>
        <v>-189061.46911088057</v>
      </c>
      <c r="K130" s="85">
        <f t="shared" ca="1" si="90"/>
        <v>-86858.732432829827</v>
      </c>
      <c r="L130" s="85">
        <f t="shared" ca="1" si="90"/>
        <v>-43809.818040834296</v>
      </c>
      <c r="M130" s="85">
        <f t="shared" ca="1" si="90"/>
        <v>172001.01065556344</v>
      </c>
      <c r="N130" s="85">
        <f t="shared" ref="N130" ca="1" si="91">N111</f>
        <v>425504.30096557399</v>
      </c>
    </row>
    <row r="131" spans="1:16">
      <c r="D131" s="86" t="s">
        <v>194</v>
      </c>
      <c r="J131" s="85">
        <f t="shared" ref="J131:M131" ca="1" si="92">J130+J114</f>
        <v>-191093.33428637969</v>
      </c>
      <c r="K131" s="85">
        <f t="shared" ca="1" si="92"/>
        <v>-89948.806738324711</v>
      </c>
      <c r="L131" s="85">
        <f t="shared" ca="1" si="92"/>
        <v>-49961.126431696597</v>
      </c>
      <c r="M131" s="85">
        <f t="shared" ca="1" si="92"/>
        <v>158189.83190903402</v>
      </c>
      <c r="N131" s="85">
        <f t="shared" ref="N131" ca="1" si="93">N130+N114</f>
        <v>400940.0704752116</v>
      </c>
    </row>
    <row r="132" spans="1:16">
      <c r="D132" s="86" t="s">
        <v>195</v>
      </c>
      <c r="J132" s="85">
        <f t="shared" ref="J132:M132" ca="1" si="94">J131+J120+J119+J121</f>
        <v>-191093.33428637969</v>
      </c>
      <c r="K132" s="85">
        <f t="shared" ca="1" si="94"/>
        <v>-89948.806738324711</v>
      </c>
      <c r="L132" s="85">
        <f t="shared" ca="1" si="94"/>
        <v>-49961.126431696597</v>
      </c>
      <c r="M132" s="85">
        <f t="shared" ca="1" si="94"/>
        <v>158189.83190903402</v>
      </c>
      <c r="N132" s="85">
        <f t="shared" ref="N132" ca="1" si="95">N131+N120+N119+N121</f>
        <v>400940.0704752116</v>
      </c>
    </row>
    <row r="133" spans="1:16" ht="6" customHeight="1"/>
    <row r="134" spans="1:16" ht="21" customHeight="1">
      <c r="A134" s="94"/>
      <c r="D134" s="405" t="s">
        <v>196</v>
      </c>
      <c r="E134"/>
      <c r="F134" s="406" t="s">
        <v>197</v>
      </c>
      <c r="G134" s="407"/>
      <c r="H134" s="407"/>
      <c r="I134" s="407"/>
      <c r="J134" s="407"/>
      <c r="K134" s="407"/>
      <c r="L134" s="407"/>
      <c r="M134" s="407"/>
      <c r="N134" s="407"/>
    </row>
    <row r="135" spans="1:16" ht="6" customHeight="1"/>
    <row r="136" spans="1:16">
      <c r="A136" s="94" t="s">
        <v>83</v>
      </c>
      <c r="D136" s="10" t="s">
        <v>198</v>
      </c>
      <c r="F136" s="11"/>
      <c r="G136" s="11"/>
      <c r="H136" s="11"/>
      <c r="I136" s="11"/>
      <c r="J136" s="11"/>
      <c r="K136" s="11"/>
      <c r="L136" s="11"/>
      <c r="M136" s="11"/>
      <c r="N136" s="11"/>
    </row>
    <row r="137" spans="1:16">
      <c r="D137" s="22" t="s">
        <v>199</v>
      </c>
      <c r="F137" s="20"/>
      <c r="G137" s="20"/>
      <c r="H137" s="20"/>
      <c r="I137" s="20"/>
      <c r="J137" s="20"/>
      <c r="K137" s="20"/>
      <c r="L137" s="20"/>
      <c r="M137" s="20"/>
      <c r="N137" s="20"/>
    </row>
    <row r="138" spans="1:16">
      <c r="D138" s="7" t="s">
        <v>189</v>
      </c>
      <c r="G138" s="85">
        <f ca="1">OFFSET(G140,0,-1)</f>
        <v>4833</v>
      </c>
      <c r="H138" s="85">
        <f t="shared" ref="H138:M138" ca="1" si="96">OFFSET(H140,0,-1)</f>
        <v>11199</v>
      </c>
      <c r="I138" s="85">
        <f t="shared" ca="1" si="96"/>
        <v>10127</v>
      </c>
      <c r="J138" s="85">
        <f t="shared" ca="1" si="96"/>
        <v>21104</v>
      </c>
      <c r="K138" s="85">
        <f t="shared" ca="1" si="96"/>
        <v>21313.561643835616</v>
      </c>
      <c r="L138" s="85">
        <f t="shared" ca="1" si="96"/>
        <v>34101.698630136983</v>
      </c>
      <c r="M138" s="85">
        <f t="shared" ca="1" si="96"/>
        <v>65929.950684931508</v>
      </c>
      <c r="N138" s="85">
        <f t="shared" ref="N138" ca="1" si="97">OFFSET(N140,0,-1)</f>
        <v>145045.89150684932</v>
      </c>
    </row>
    <row r="139" spans="1:16">
      <c r="D139" s="7" t="s">
        <v>200</v>
      </c>
      <c r="F139" s="85">
        <f t="shared" ref="F139:I139" si="98">F140-F138</f>
        <v>4833</v>
      </c>
      <c r="G139" s="85">
        <f t="shared" ca="1" si="98"/>
        <v>6366</v>
      </c>
      <c r="H139" s="85">
        <f t="shared" ca="1" si="98"/>
        <v>-1072</v>
      </c>
      <c r="I139" s="85">
        <f t="shared" ca="1" si="98"/>
        <v>10977</v>
      </c>
      <c r="J139" s="85">
        <f t="shared" ref="J139:M139" ca="1" si="99">J140-J138</f>
        <v>209.56164383561554</v>
      </c>
      <c r="K139" s="85">
        <f t="shared" ca="1" si="99"/>
        <v>12788.136986301368</v>
      </c>
      <c r="L139" s="85">
        <f t="shared" ca="1" si="99"/>
        <v>31828.252054794524</v>
      </c>
      <c r="M139" s="85">
        <f t="shared" ca="1" si="99"/>
        <v>79115.940821917815</v>
      </c>
      <c r="N139" s="85">
        <f t="shared" ref="N139" ca="1" si="100">N140-N138</f>
        <v>116036.71320547949</v>
      </c>
    </row>
    <row r="140" spans="1:16">
      <c r="D140" s="95" t="s">
        <v>191</v>
      </c>
      <c r="F140" s="99">
        <f>F54</f>
        <v>4833</v>
      </c>
      <c r="G140" s="99">
        <f t="shared" ref="G140:I140" si="101">G54</f>
        <v>11199</v>
      </c>
      <c r="H140" s="99">
        <f t="shared" si="101"/>
        <v>10127</v>
      </c>
      <c r="I140" s="99">
        <f t="shared" si="101"/>
        <v>21104</v>
      </c>
      <c r="J140" s="99">
        <f ca="1">ABS(J$11)/(365)*J141</f>
        <v>21313.561643835616</v>
      </c>
      <c r="K140" s="99">
        <f ca="1">ABS(K$11)/(365)*K141</f>
        <v>34101.698630136983</v>
      </c>
      <c r="L140" s="99">
        <f ca="1">ABS(L$11)/(365)*L141</f>
        <v>65929.950684931508</v>
      </c>
      <c r="M140" s="99">
        <f ca="1">ABS(M$11)/(365)*M141</f>
        <v>145045.89150684932</v>
      </c>
      <c r="N140" s="99">
        <f ca="1">ABS(N$11)/(365)*N141</f>
        <v>261082.60471232882</v>
      </c>
    </row>
    <row r="141" spans="1:16">
      <c r="D141" s="96" t="s">
        <v>201</v>
      </c>
      <c r="F141" s="408">
        <f ca="1">IFERROR(AVERAGE(F138,F140)/ABS(F$11)*(365),"NA")</f>
        <v>616.36792452830184</v>
      </c>
      <c r="G141" s="408">
        <f ca="1">IFERROR(AVERAGE(G138,G140)/ABS(G$11)*(365),"NA")</f>
        <v>247.86851914605219</v>
      </c>
      <c r="H141" s="408">
        <f ca="1">IFERROR(AVERAGE(H138,H140)/ABS(H$11)*(365),"NA")</f>
        <v>170.62669881630865</v>
      </c>
      <c r="I141" s="408">
        <f ca="1">IFERROR(AVERAGE(I138,I140)/ABS(I$11)*(365),"NA")</f>
        <v>153.85767310028345</v>
      </c>
      <c r="J141" s="479">
        <v>150</v>
      </c>
      <c r="K141" s="479">
        <v>150</v>
      </c>
      <c r="L141" s="479">
        <v>145</v>
      </c>
      <c r="M141" s="479">
        <f t="shared" ref="L141:N141" si="102">L141</f>
        <v>145</v>
      </c>
      <c r="N141" s="479">
        <f t="shared" si="102"/>
        <v>145</v>
      </c>
      <c r="P141" s="2">
        <f ca="1">DCF_Equity_Value_PerShare</f>
        <v>140.68930266137801</v>
      </c>
    </row>
    <row r="142" spans="1:16" ht="6" customHeight="1"/>
    <row r="143" spans="1:16">
      <c r="D143" s="22" t="s">
        <v>202</v>
      </c>
      <c r="F143" s="20"/>
      <c r="G143" s="20"/>
      <c r="H143" s="20"/>
      <c r="I143" s="20"/>
      <c r="J143" s="20"/>
      <c r="K143" s="20"/>
      <c r="L143" s="20"/>
      <c r="M143" s="20"/>
      <c r="N143" s="20"/>
    </row>
    <row r="144" spans="1:16">
      <c r="D144" s="7" t="s">
        <v>189</v>
      </c>
      <c r="G144" s="85">
        <f ca="1">OFFSET(G146,0,-1)</f>
        <v>0</v>
      </c>
      <c r="H144" s="85">
        <f t="shared" ref="H144:M144" ca="1" si="103">OFFSET(H146,0,-1)</f>
        <v>0</v>
      </c>
      <c r="I144" s="85">
        <f t="shared" ca="1" si="103"/>
        <v>0</v>
      </c>
      <c r="J144" s="85">
        <f t="shared" ca="1" si="103"/>
        <v>0</v>
      </c>
      <c r="K144" s="85">
        <f t="shared" ca="1" si="103"/>
        <v>0</v>
      </c>
      <c r="L144" s="85">
        <f t="shared" ca="1" si="103"/>
        <v>0</v>
      </c>
      <c r="M144" s="85">
        <f t="shared" ca="1" si="103"/>
        <v>0</v>
      </c>
      <c r="N144" s="85">
        <f t="shared" ref="N144" ca="1" si="104">OFFSET(N146,0,-1)</f>
        <v>0</v>
      </c>
    </row>
    <row r="145" spans="4:14">
      <c r="D145" s="7" t="s">
        <v>200</v>
      </c>
      <c r="F145" s="85">
        <f>F146-F144</f>
        <v>0</v>
      </c>
      <c r="G145" s="85">
        <f ca="1">G146-G144</f>
        <v>0</v>
      </c>
      <c r="H145" s="85">
        <f t="shared" ref="H145:M145" ca="1" si="105">H146-H144</f>
        <v>0</v>
      </c>
      <c r="I145" s="85">
        <f t="shared" ca="1" si="105"/>
        <v>0</v>
      </c>
      <c r="J145" s="85">
        <f t="shared" ca="1" si="105"/>
        <v>0</v>
      </c>
      <c r="K145" s="85">
        <f t="shared" ca="1" si="105"/>
        <v>0</v>
      </c>
      <c r="L145" s="85">
        <f t="shared" ca="1" si="105"/>
        <v>0</v>
      </c>
      <c r="M145" s="85">
        <f t="shared" ca="1" si="105"/>
        <v>0</v>
      </c>
      <c r="N145" s="85">
        <f t="shared" ref="N145" ca="1" si="106">N146-N144</f>
        <v>0</v>
      </c>
    </row>
    <row r="146" spans="4:14">
      <c r="D146" s="95" t="s">
        <v>191</v>
      </c>
      <c r="F146" s="99">
        <f>F55</f>
        <v>0</v>
      </c>
      <c r="G146" s="99">
        <f t="shared" ref="G146:I146" si="107">G55</f>
        <v>0</v>
      </c>
      <c r="H146" s="99">
        <f t="shared" si="107"/>
        <v>0</v>
      </c>
      <c r="I146" s="99">
        <f t="shared" si="107"/>
        <v>0</v>
      </c>
      <c r="J146" s="99">
        <f ca="1">ABS(J$16)/(365)*J147</f>
        <v>0</v>
      </c>
      <c r="K146" s="99">
        <f ca="1">ABS(K$16)/(365)*K147</f>
        <v>0</v>
      </c>
      <c r="L146" s="99">
        <f ca="1">ABS(L$16)/(365)*L147</f>
        <v>0</v>
      </c>
      <c r="M146" s="99">
        <f ca="1">ABS(M$16)/(365)*M147</f>
        <v>0</v>
      </c>
      <c r="N146" s="99">
        <f ca="1">ABS(N$16)/(365)*N147</f>
        <v>0</v>
      </c>
    </row>
    <row r="147" spans="4:14">
      <c r="D147" s="96" t="s">
        <v>203</v>
      </c>
      <c r="F147" s="408">
        <f ca="1">IFERROR(AVERAGE(F144,F146)/ABS(F$16)*(365),"NA")</f>
        <v>0</v>
      </c>
      <c r="G147" s="408">
        <f ca="1">IFERROR(AVERAGE(G144,G146)/ABS(G$16)*(365),"NA")</f>
        <v>0</v>
      </c>
      <c r="H147" s="408">
        <f ca="1">IFERROR(AVERAGE(H144,H146)/ABS(H$16)*(365),"NA")</f>
        <v>0</v>
      </c>
      <c r="I147" s="408">
        <f ca="1">IFERROR(AVERAGE(I144,I146)/ABS(I$16)*(365),"NA")</f>
        <v>0</v>
      </c>
      <c r="J147" s="479">
        <f ca="1">AVERAGE(F147:I147)</f>
        <v>0</v>
      </c>
      <c r="K147" s="479">
        <f ca="1">J147</f>
        <v>0</v>
      </c>
      <c r="L147" s="479">
        <f t="shared" ref="L147:N147" ca="1" si="108">K147</f>
        <v>0</v>
      </c>
      <c r="M147" s="479">
        <f t="shared" ca="1" si="108"/>
        <v>0</v>
      </c>
      <c r="N147" s="479">
        <f t="shared" ca="1" si="108"/>
        <v>0</v>
      </c>
    </row>
    <row r="148" spans="4:14" ht="6" customHeight="1"/>
    <row r="149" spans="4:14">
      <c r="D149" s="22" t="s">
        <v>204</v>
      </c>
      <c r="F149" s="20"/>
      <c r="G149" s="20"/>
      <c r="H149" s="20"/>
      <c r="I149" s="20"/>
      <c r="J149" s="20"/>
      <c r="K149" s="20"/>
      <c r="L149" s="20"/>
      <c r="M149" s="20"/>
      <c r="N149" s="20"/>
    </row>
    <row r="150" spans="4:14">
      <c r="D150" s="7" t="s">
        <v>189</v>
      </c>
      <c r="G150" s="85">
        <f ca="1">OFFSET(G152,0,-1)</f>
        <v>0</v>
      </c>
      <c r="H150" s="85">
        <f t="shared" ref="H150:M150" ca="1" si="109">OFFSET(H152,0,-1)</f>
        <v>0</v>
      </c>
      <c r="I150" s="85">
        <f t="shared" ca="1" si="109"/>
        <v>5100</v>
      </c>
      <c r="J150" s="85">
        <f t="shared" ca="1" si="109"/>
        <v>5100</v>
      </c>
      <c r="K150" s="85">
        <f t="shared" ca="1" si="109"/>
        <v>6223.5599999999995</v>
      </c>
      <c r="L150" s="85">
        <f t="shared" ca="1" si="109"/>
        <v>8298.08</v>
      </c>
      <c r="M150" s="85">
        <f t="shared" ca="1" si="109"/>
        <v>13276.928</v>
      </c>
      <c r="N150" s="85">
        <f t="shared" ref="N150" ca="1" si="110">OFFSET(N152,0,-1)</f>
        <v>29209.241600000001</v>
      </c>
    </row>
    <row r="151" spans="4:14">
      <c r="D151" s="7" t="s">
        <v>200</v>
      </c>
      <c r="F151" s="85">
        <f>F152-F150</f>
        <v>0</v>
      </c>
      <c r="G151" s="85">
        <f ca="1">G152-G150</f>
        <v>0</v>
      </c>
      <c r="H151" s="85">
        <f t="shared" ref="H151:M151" ca="1" si="111">H152-H150</f>
        <v>5100</v>
      </c>
      <c r="I151" s="85">
        <f t="shared" ca="1" si="111"/>
        <v>0</v>
      </c>
      <c r="J151" s="85">
        <f t="shared" ca="1" si="111"/>
        <v>1123.5599999999995</v>
      </c>
      <c r="K151" s="85">
        <f t="shared" ca="1" si="111"/>
        <v>2074.5200000000004</v>
      </c>
      <c r="L151" s="85">
        <f t="shared" ca="1" si="111"/>
        <v>4978.848</v>
      </c>
      <c r="M151" s="85">
        <f t="shared" ca="1" si="111"/>
        <v>15932.313600000001</v>
      </c>
      <c r="N151" s="85">
        <f t="shared" ref="N151" ca="1" si="112">N152-N150</f>
        <v>3651.1552000000083</v>
      </c>
    </row>
    <row r="152" spans="4:14">
      <c r="D152" s="95" t="s">
        <v>191</v>
      </c>
      <c r="F152" s="99">
        <f>F56</f>
        <v>0</v>
      </c>
      <c r="G152" s="99">
        <f t="shared" ref="G152:I152" si="113">G56</f>
        <v>0</v>
      </c>
      <c r="H152" s="99">
        <f t="shared" si="113"/>
        <v>5100</v>
      </c>
      <c r="I152" s="99">
        <f t="shared" si="113"/>
        <v>5100</v>
      </c>
      <c r="J152" s="99">
        <f ca="1">ABS(J$11)*J153</f>
        <v>6223.5599999999995</v>
      </c>
      <c r="K152" s="99">
        <f ca="1">ABS(K$11)*K153</f>
        <v>8298.08</v>
      </c>
      <c r="L152" s="99">
        <f ca="1">ABS(L$11)*L153</f>
        <v>13276.928</v>
      </c>
      <c r="M152" s="99">
        <f ca="1">ABS(M$11)*M153</f>
        <v>29209.241600000001</v>
      </c>
      <c r="N152" s="99">
        <f ca="1">ABS(N$11)*N153</f>
        <v>32860.39680000001</v>
      </c>
    </row>
    <row r="153" spans="4:14">
      <c r="D153" s="96" t="s">
        <v>205</v>
      </c>
      <c r="F153" s="97">
        <f ca="1">IFERROR(AVERAGE(F150,F152)/ABS(F$11),"NA")</f>
        <v>0</v>
      </c>
      <c r="G153" s="97">
        <f ca="1">IFERROR(AVERAGE(G150,G152)/ABS(G$11),"NA")</f>
        <v>0</v>
      </c>
      <c r="H153" s="97">
        <f ca="1">IFERROR(AVERAGE(H150,H152)/ABS(H$11),"NA")</f>
        <v>0.11179307321350285</v>
      </c>
      <c r="I153" s="97">
        <f ca="1">IFERROR(AVERAGE(I150,I152)/ABS(I$11),"NA")</f>
        <v>0.13767040086381427</v>
      </c>
      <c r="J153" s="101">
        <v>0.12</v>
      </c>
      <c r="K153" s="101">
        <v>0.1</v>
      </c>
      <c r="L153" s="101">
        <v>0.08</v>
      </c>
      <c r="M153" s="101">
        <v>0.08</v>
      </c>
      <c r="N153" s="101">
        <v>0.05</v>
      </c>
    </row>
    <row r="154" spans="4:14" ht="6" customHeight="1"/>
    <row r="155" spans="4:14">
      <c r="D155" s="22" t="s">
        <v>133</v>
      </c>
      <c r="F155" s="20"/>
      <c r="G155" s="20"/>
      <c r="H155" s="20"/>
      <c r="I155" s="20"/>
      <c r="J155" s="20"/>
      <c r="K155" s="20"/>
      <c r="L155" s="20"/>
      <c r="M155" s="20"/>
      <c r="N155" s="20"/>
    </row>
    <row r="156" spans="4:14">
      <c r="D156" s="7" t="s">
        <v>189</v>
      </c>
      <c r="G156" s="85">
        <f ca="1">OFFSET(G158,0,-1)</f>
        <v>4147</v>
      </c>
      <c r="H156" s="85">
        <f t="shared" ref="H156:M156" ca="1" si="114">OFFSET(H158,0,-1)</f>
        <v>5531</v>
      </c>
      <c r="I156" s="85">
        <f t="shared" ca="1" si="114"/>
        <v>19054</v>
      </c>
      <c r="J156" s="85">
        <f t="shared" ca="1" si="114"/>
        <v>3377</v>
      </c>
      <c r="K156" s="85">
        <f t="shared" ca="1" si="114"/>
        <v>20745.2</v>
      </c>
      <c r="L156" s="85">
        <f t="shared" ca="1" si="114"/>
        <v>33192.32</v>
      </c>
      <c r="M156" s="85">
        <f t="shared" ca="1" si="114"/>
        <v>66384.639999999999</v>
      </c>
      <c r="N156" s="85">
        <f t="shared" ref="N156" ca="1" si="115">OFFSET(N158,0,-1)</f>
        <v>146046.20800000001</v>
      </c>
    </row>
    <row r="157" spans="4:14">
      <c r="D157" s="7" t="s">
        <v>200</v>
      </c>
      <c r="F157" s="85">
        <f>F158-F156</f>
        <v>4147</v>
      </c>
      <c r="G157" s="85">
        <f ca="1">G158-G156</f>
        <v>1384</v>
      </c>
      <c r="H157" s="85">
        <f t="shared" ref="H157:M157" ca="1" si="116">H158-H156</f>
        <v>13523</v>
      </c>
      <c r="I157" s="85">
        <f t="shared" ca="1" si="116"/>
        <v>-15677</v>
      </c>
      <c r="J157" s="85">
        <f t="shared" ca="1" si="116"/>
        <v>17368.2</v>
      </c>
      <c r="K157" s="85">
        <f t="shared" ca="1" si="116"/>
        <v>12447.119999999999</v>
      </c>
      <c r="L157" s="85">
        <f t="shared" ca="1" si="116"/>
        <v>33192.32</v>
      </c>
      <c r="M157" s="85">
        <f t="shared" ca="1" si="116"/>
        <v>79661.568000000014</v>
      </c>
      <c r="N157" s="85">
        <f t="shared" ref="N157" ca="1" si="117">N158-N156</f>
        <v>116836.96640000006</v>
      </c>
    </row>
    <row r="158" spans="4:14">
      <c r="D158" s="95" t="s">
        <v>191</v>
      </c>
      <c r="F158" s="99">
        <f>F57</f>
        <v>4147</v>
      </c>
      <c r="G158" s="99">
        <f t="shared" ref="G158:I158" si="118">G57</f>
        <v>5531</v>
      </c>
      <c r="H158" s="99">
        <f t="shared" si="118"/>
        <v>19054</v>
      </c>
      <c r="I158" s="99">
        <f t="shared" si="118"/>
        <v>3377</v>
      </c>
      <c r="J158" s="99">
        <f ca="1">ABS(J$11)*J159</f>
        <v>20745.2</v>
      </c>
      <c r="K158" s="99">
        <f ca="1">ABS(K$11)*K159</f>
        <v>33192.32</v>
      </c>
      <c r="L158" s="99">
        <f ca="1">ABS(L$11)*L159</f>
        <v>66384.639999999999</v>
      </c>
      <c r="M158" s="99">
        <f ca="1">ABS(M$11)*M159</f>
        <v>146046.20800000001</v>
      </c>
      <c r="N158" s="99">
        <f ca="1">ABS(N$11)*N159</f>
        <v>262883.17440000008</v>
      </c>
    </row>
    <row r="159" spans="4:14">
      <c r="D159" s="96" t="s">
        <v>205</v>
      </c>
      <c r="F159" s="97">
        <f ca="1">IFERROR(AVERAGE(F156,F158)/ABS(F$11),"NA")</f>
        <v>1.4489867225716282</v>
      </c>
      <c r="G159" s="97">
        <f ca="1">IFERROR(AVERAGE(G156,G158)/ABS(G$11),"NA")</f>
        <v>0.40994578109115554</v>
      </c>
      <c r="H159" s="97">
        <f ca="1">IFERROR(AVERAGE(H156,H158)/ABS(H$11),"NA")</f>
        <v>0.53890837352038579</v>
      </c>
      <c r="I159" s="97">
        <f ca="1">IFERROR(AVERAGE(I156,I158)/ABS(I$11),"NA")</f>
        <v>0.30275340801727629</v>
      </c>
      <c r="J159" s="101">
        <v>0.4</v>
      </c>
      <c r="K159" s="101">
        <v>0.4</v>
      </c>
      <c r="L159" s="101">
        <v>0.4</v>
      </c>
      <c r="M159" s="101">
        <v>0.4</v>
      </c>
      <c r="N159" s="101">
        <v>0.4</v>
      </c>
    </row>
    <row r="160" spans="4:14" ht="6" customHeight="1"/>
    <row r="161" spans="4:17">
      <c r="D161" s="22" t="s">
        <v>147</v>
      </c>
      <c r="F161" s="20"/>
      <c r="G161" s="20"/>
      <c r="H161" s="20"/>
      <c r="I161" s="20"/>
      <c r="J161" s="20"/>
      <c r="K161" s="20"/>
      <c r="L161" s="20"/>
      <c r="M161" s="20"/>
      <c r="N161" s="20"/>
    </row>
    <row r="162" spans="4:17">
      <c r="D162" s="7" t="s">
        <v>189</v>
      </c>
      <c r="G162" s="85">
        <f ca="1">OFFSET(G164,0,-1)</f>
        <v>22375</v>
      </c>
      <c r="H162" s="85">
        <f t="shared" ref="H162:M162" ca="1" si="119">OFFSET(H164,0,-1)</f>
        <v>27951</v>
      </c>
      <c r="I162" s="85">
        <f t="shared" ca="1" si="119"/>
        <v>44925</v>
      </c>
      <c r="J162" s="85">
        <f t="shared" ca="1" si="119"/>
        <v>47947</v>
      </c>
      <c r="K162" s="85">
        <f t="shared" ca="1" si="119"/>
        <v>28418.082191780821</v>
      </c>
      <c r="L162" s="85">
        <f t="shared" ca="1" si="119"/>
        <v>56836.164383561641</v>
      </c>
      <c r="M162" s="85">
        <f t="shared" ca="1" si="119"/>
        <v>113672.32876712328</v>
      </c>
      <c r="N162" s="85">
        <f t="shared" ref="N162" ca="1" si="120">OFFSET(N164,0,-1)</f>
        <v>300094.94794520549</v>
      </c>
    </row>
    <row r="163" spans="4:17">
      <c r="D163" s="7" t="s">
        <v>200</v>
      </c>
      <c r="F163" s="85">
        <f>F164-F162</f>
        <v>22375</v>
      </c>
      <c r="G163" s="85">
        <f ca="1">G164-G162</f>
        <v>5576</v>
      </c>
      <c r="H163" s="85">
        <f t="shared" ref="H163:M163" ca="1" si="121">H164-H162</f>
        <v>16974</v>
      </c>
      <c r="I163" s="85">
        <f t="shared" ca="1" si="121"/>
        <v>3022</v>
      </c>
      <c r="J163" s="85">
        <f t="shared" ca="1" si="121"/>
        <v>-19528.917808219179</v>
      </c>
      <c r="K163" s="85">
        <f t="shared" ca="1" si="121"/>
        <v>28418.082191780821</v>
      </c>
      <c r="L163" s="85">
        <f t="shared" ca="1" si="121"/>
        <v>56836.164383561641</v>
      </c>
      <c r="M163" s="85">
        <f t="shared" ca="1" si="121"/>
        <v>186422.61917808221</v>
      </c>
      <c r="N163" s="85">
        <f t="shared" ref="N163" ca="1" si="122">N164-N162</f>
        <v>330104.44273972604</v>
      </c>
    </row>
    <row r="164" spans="4:17">
      <c r="D164" s="95" t="s">
        <v>191</v>
      </c>
      <c r="F164" s="99">
        <f>F72</f>
        <v>22375</v>
      </c>
      <c r="G164" s="99">
        <f t="shared" ref="G164:I164" si="123">G72</f>
        <v>27951</v>
      </c>
      <c r="H164" s="99">
        <f t="shared" si="123"/>
        <v>44925</v>
      </c>
      <c r="I164" s="99">
        <f t="shared" si="123"/>
        <v>47947</v>
      </c>
      <c r="J164" s="99">
        <f ca="1">ABS(J$16)/(365)*J165</f>
        <v>28418.082191780821</v>
      </c>
      <c r="K164" s="99">
        <f ca="1">ABS(K$16)/(365)*K165</f>
        <v>56836.164383561641</v>
      </c>
      <c r="L164" s="99">
        <f ca="1">ABS(L$16)/(365)*L165</f>
        <v>113672.32876712328</v>
      </c>
      <c r="M164" s="99">
        <f ca="1">ABS(M$16)/(365)*M165</f>
        <v>300094.94794520549</v>
      </c>
      <c r="N164" s="99">
        <f ca="1">ABS(N$16)/(365)*N165</f>
        <v>630199.39068493154</v>
      </c>
    </row>
    <row r="165" spans="4:17">
      <c r="D165" s="96" t="s">
        <v>206</v>
      </c>
      <c r="F165" s="408">
        <f ca="1">IFERROR(AVERAGE(F162,F164)/ABS(F$16)*(365),"NA")</f>
        <v>4614.0536723163841</v>
      </c>
      <c r="G165" s="408">
        <f ca="1">IFERROR(AVERAGE(G162,G164)/ABS(G$16)*(365),"NA")</f>
        <v>1255.2268689353559</v>
      </c>
      <c r="H165" s="408">
        <f ca="1">IFERROR(AVERAGE(H162,H164)/ABS(H$16)*(365),"NA")</f>
        <v>701.43294130056427</v>
      </c>
      <c r="I165" s="408">
        <f ca="1">IFERROR(AVERAGE(I162,I164)/ABS(I$16)*(365),"NA")</f>
        <v>3433.0848693538587</v>
      </c>
      <c r="J165" s="479">
        <v>1000</v>
      </c>
      <c r="K165" s="479">
        <v>1000</v>
      </c>
      <c r="L165" s="479">
        <v>1000</v>
      </c>
      <c r="M165" s="479">
        <v>1000</v>
      </c>
      <c r="N165" s="479">
        <v>1000</v>
      </c>
    </row>
    <row r="166" spans="4:17" ht="6" customHeight="1"/>
    <row r="167" spans="4:17">
      <c r="D167" s="22" t="s">
        <v>148</v>
      </c>
      <c r="F167" s="20"/>
      <c r="G167" s="20"/>
      <c r="H167" s="20"/>
      <c r="I167" s="20"/>
      <c r="J167" s="20"/>
      <c r="K167" s="20"/>
      <c r="L167" s="20"/>
      <c r="M167" s="20"/>
      <c r="N167" s="20"/>
    </row>
    <row r="168" spans="4:17">
      <c r="D168" s="7" t="s">
        <v>189</v>
      </c>
      <c r="G168" s="85">
        <f ca="1">OFFSET(G170,0,-1)</f>
        <v>10552</v>
      </c>
      <c r="H168" s="85">
        <f t="shared" ref="H168:M168" ca="1" si="124">OFFSET(H170,0,-1)</f>
        <v>9038</v>
      </c>
      <c r="I168" s="85">
        <f t="shared" ca="1" si="124"/>
        <v>8546</v>
      </c>
      <c r="J168" s="85">
        <f t="shared" ca="1" si="124"/>
        <v>7330</v>
      </c>
      <c r="K168" s="85">
        <f t="shared" ca="1" si="124"/>
        <v>8525.4246575342459</v>
      </c>
      <c r="L168" s="85">
        <f t="shared" ca="1" si="124"/>
        <v>17050.849315068492</v>
      </c>
      <c r="M168" s="85">
        <f t="shared" ca="1" si="124"/>
        <v>34101.698630136983</v>
      </c>
      <c r="N168" s="85">
        <f t="shared" ref="N168" ca="1" si="125">OFFSET(N170,0,-1)</f>
        <v>90028.484383561648</v>
      </c>
    </row>
    <row r="169" spans="4:17">
      <c r="D169" s="7" t="s">
        <v>200</v>
      </c>
      <c r="F169" s="85">
        <f>F170-F168</f>
        <v>10552</v>
      </c>
      <c r="G169" s="85">
        <f ca="1">G170-G168</f>
        <v>-1514</v>
      </c>
      <c r="H169" s="85">
        <f t="shared" ref="H169:M169" ca="1" si="126">H170-H168</f>
        <v>-492</v>
      </c>
      <c r="I169" s="85">
        <f t="shared" ca="1" si="126"/>
        <v>-1216</v>
      </c>
      <c r="J169" s="85">
        <f t="shared" ca="1" si="126"/>
        <v>1195.4246575342459</v>
      </c>
      <c r="K169" s="85">
        <f t="shared" ca="1" si="126"/>
        <v>8525.4246575342459</v>
      </c>
      <c r="L169" s="85">
        <f t="shared" ca="1" si="126"/>
        <v>17050.849315068492</v>
      </c>
      <c r="M169" s="85">
        <f t="shared" ca="1" si="126"/>
        <v>55926.785753424665</v>
      </c>
      <c r="N169" s="85">
        <f t="shared" ref="N169" ca="1" si="127">N170-N168</f>
        <v>99031.332821917837</v>
      </c>
    </row>
    <row r="170" spans="4:17">
      <c r="D170" s="95" t="s">
        <v>191</v>
      </c>
      <c r="F170" s="99">
        <f>F73</f>
        <v>10552</v>
      </c>
      <c r="G170" s="99">
        <f>G73</f>
        <v>9038</v>
      </c>
      <c r="H170" s="99">
        <f>H73</f>
        <v>8546</v>
      </c>
      <c r="I170" s="99">
        <f>I73</f>
        <v>7330</v>
      </c>
      <c r="J170" s="99">
        <f ca="1">ABS(J$16)/(365)*J171</f>
        <v>8525.4246575342459</v>
      </c>
      <c r="K170" s="99">
        <f ca="1">ABS(K$16)/(365)*K171</f>
        <v>17050.849315068492</v>
      </c>
      <c r="L170" s="99">
        <f ca="1">ABS(L$16)/(365)*L171</f>
        <v>34101.698630136983</v>
      </c>
      <c r="M170" s="99">
        <f ca="1">ABS(M$16)/(365)*M171</f>
        <v>90028.484383561648</v>
      </c>
      <c r="N170" s="99">
        <f ca="1">ABS(N$16)/(365)*N171</f>
        <v>189059.81720547948</v>
      </c>
    </row>
    <row r="171" spans="4:17">
      <c r="D171" s="96" t="s">
        <v>207</v>
      </c>
      <c r="F171" s="408">
        <f ca="1">IFERROR(AVERAGE(F168,F170)/ABS(F$16)*(365),"NA")</f>
        <v>2175.9774011299432</v>
      </c>
      <c r="G171" s="408">
        <f ca="1">IFERROR(AVERAGE(G168,G170)/ABS(G$16)*(365),"NA")</f>
        <v>488.61213612136123</v>
      </c>
      <c r="H171" s="408">
        <f ca="1">IFERROR(AVERAGE(H168,H170)/ABS(H$16)*(365),"NA")</f>
        <v>169.24634776646801</v>
      </c>
      <c r="I171" s="408">
        <f ca="1">IFERROR(AVERAGE(I168,I170)/ABS(I$16)*(365),"NA")</f>
        <v>586.86854364998987</v>
      </c>
      <c r="J171" s="102">
        <v>300</v>
      </c>
      <c r="K171" s="102">
        <v>300</v>
      </c>
      <c r="L171" s="102">
        <v>300</v>
      </c>
      <c r="M171" s="102">
        <v>300</v>
      </c>
      <c r="N171" s="102">
        <v>300</v>
      </c>
    </row>
    <row r="172" spans="4:17" ht="6" customHeight="1"/>
    <row r="173" spans="4:17">
      <c r="D173" s="22" t="s">
        <v>153</v>
      </c>
      <c r="F173" s="20"/>
      <c r="G173" s="20"/>
      <c r="H173" s="20"/>
      <c r="I173" s="20"/>
      <c r="J173" s="20"/>
      <c r="K173" s="20"/>
      <c r="L173" s="20"/>
      <c r="M173" s="20"/>
      <c r="N173" s="20"/>
    </row>
    <row r="174" spans="4:17">
      <c r="D174" s="7" t="s">
        <v>189</v>
      </c>
      <c r="G174" s="85">
        <f ca="1">OFFSET(G176,0,-1)</f>
        <v>15481</v>
      </c>
      <c r="H174" s="85">
        <f t="shared" ref="H174:M174" ca="1" si="128">OFFSET(H176,0,-1)</f>
        <v>1568</v>
      </c>
      <c r="I174" s="85">
        <f t="shared" ca="1" si="128"/>
        <v>33987</v>
      </c>
      <c r="J174" s="85">
        <f t="shared" ca="1" si="128"/>
        <v>33683</v>
      </c>
      <c r="K174" s="85">
        <f t="shared" ca="1" si="128"/>
        <v>14209.04109589041</v>
      </c>
      <c r="L174" s="85">
        <f t="shared" ca="1" si="128"/>
        <v>22734.465753424658</v>
      </c>
      <c r="M174" s="85">
        <f t="shared" ca="1" si="128"/>
        <v>25007.912328767125</v>
      </c>
      <c r="N174" s="85">
        <f t="shared" ref="N174" ca="1" si="129">OFFSET(N176,0,-1)</f>
        <v>30009.494794520549</v>
      </c>
      <c r="Q174" s="2">
        <f ca="1">P141</f>
        <v>140.68930266137801</v>
      </c>
    </row>
    <row r="175" spans="4:17">
      <c r="D175" s="7" t="s">
        <v>200</v>
      </c>
      <c r="F175" s="85">
        <f>F176-F174</f>
        <v>15481</v>
      </c>
      <c r="G175" s="85">
        <f ca="1">G176-G174</f>
        <v>-13913</v>
      </c>
      <c r="H175" s="85">
        <f t="shared" ref="H175:M175" ca="1" si="130">H176-H174</f>
        <v>32419</v>
      </c>
      <c r="I175" s="85">
        <f t="shared" ca="1" si="130"/>
        <v>-304</v>
      </c>
      <c r="J175" s="85">
        <f t="shared" ca="1" si="130"/>
        <v>-19473.95890410959</v>
      </c>
      <c r="K175" s="85">
        <f t="shared" ca="1" si="130"/>
        <v>8525.4246575342477</v>
      </c>
      <c r="L175" s="85">
        <f t="shared" ca="1" si="130"/>
        <v>2273.4465753424665</v>
      </c>
      <c r="M175" s="85">
        <f t="shared" ca="1" si="130"/>
        <v>5001.5824657534249</v>
      </c>
      <c r="N175" s="85">
        <f t="shared" ref="N175" ca="1" si="131">N176-N174</f>
        <v>7802.4686465753475</v>
      </c>
    </row>
    <row r="176" spans="4:17">
      <c r="D176" s="95" t="s">
        <v>191</v>
      </c>
      <c r="F176" s="99">
        <f>F77</f>
        <v>15481</v>
      </c>
      <c r="G176" s="99">
        <f t="shared" ref="G176:I176" si="132">G77</f>
        <v>1568</v>
      </c>
      <c r="H176" s="99">
        <f t="shared" si="132"/>
        <v>33987</v>
      </c>
      <c r="I176" s="99">
        <f t="shared" si="132"/>
        <v>33683</v>
      </c>
      <c r="J176" s="99">
        <f ca="1">ABS(J$16)/(365)*J177</f>
        <v>14209.04109589041</v>
      </c>
      <c r="K176" s="99">
        <f ca="1">ABS(K$16)/(365)*K177</f>
        <v>22734.465753424658</v>
      </c>
      <c r="L176" s="99">
        <f ca="1">ABS(L$16)/(365)*L177</f>
        <v>25007.912328767125</v>
      </c>
      <c r="M176" s="99">
        <f ca="1">ABS(M$16)/(365)*M177</f>
        <v>30009.494794520549</v>
      </c>
      <c r="N176" s="99">
        <f ca="1">ABS(N$16)/(365)*N177</f>
        <v>37811.963441095897</v>
      </c>
    </row>
    <row r="177" spans="1:14">
      <c r="D177" s="96" t="s">
        <v>208</v>
      </c>
      <c r="F177" s="408">
        <f ca="1">IFERROR(AVERAGE(F174,F176)/ABS(F$16)*(365),"NA")</f>
        <v>3192.4096045197739</v>
      </c>
      <c r="G177" s="408">
        <f ca="1">IFERROR(AVERAGE(G174,G176)/ABS(G$16)*(365),"NA")</f>
        <v>425.23472734727352</v>
      </c>
      <c r="H177" s="408">
        <f ca="1">IFERROR(AVERAGE(H174,H176)/ABS(H$16)*(365),"NA")</f>
        <v>342.21757818680447</v>
      </c>
      <c r="I177" s="408">
        <f ca="1">IFERROR(AVERAGE(I174,I176)/ABS(I$16)*(365),"NA")</f>
        <v>2501.4735669434881</v>
      </c>
      <c r="J177" s="479">
        <v>500</v>
      </c>
      <c r="K177" s="479">
        <v>400</v>
      </c>
      <c r="L177" s="479">
        <v>220</v>
      </c>
      <c r="M177" s="479">
        <v>100</v>
      </c>
      <c r="N177" s="479">
        <v>60</v>
      </c>
    </row>
    <row r="178" spans="1:14" ht="6" customHeight="1"/>
    <row r="179" spans="1:14">
      <c r="A179" s="94"/>
      <c r="D179" s="10" t="s">
        <v>209</v>
      </c>
      <c r="F179" s="11"/>
      <c r="G179" s="11"/>
      <c r="H179" s="11"/>
      <c r="I179" s="11"/>
      <c r="J179" s="11"/>
      <c r="K179" s="11"/>
      <c r="L179" s="11"/>
      <c r="M179" s="11"/>
      <c r="N179" s="11"/>
    </row>
    <row r="180" spans="1:14">
      <c r="D180" s="22" t="s">
        <v>210</v>
      </c>
      <c r="F180" s="20"/>
      <c r="G180" s="20"/>
      <c r="H180" s="20"/>
      <c r="I180" s="20"/>
      <c r="J180" s="20"/>
      <c r="K180" s="20"/>
      <c r="L180" s="20"/>
      <c r="M180" s="20"/>
      <c r="N180" s="20"/>
    </row>
    <row r="181" spans="1:14">
      <c r="D181" s="7" t="s">
        <v>189</v>
      </c>
      <c r="G181" s="85">
        <f ca="1">OFFSET(G184,0,-1)</f>
        <v>4960</v>
      </c>
      <c r="H181" s="85">
        <f t="shared" ref="H181:M181" ca="1" si="133">OFFSET(H184,0,-1)</f>
        <v>4770</v>
      </c>
      <c r="I181" s="85">
        <f t="shared" ca="1" si="133"/>
        <v>4116</v>
      </c>
      <c r="J181" s="85">
        <f t="shared" ca="1" si="133"/>
        <v>2421</v>
      </c>
      <c r="K181" s="85">
        <f t="shared" ca="1" si="133"/>
        <v>2783.8229999999999</v>
      </c>
      <c r="L181" s="85">
        <f t="shared" ca="1" si="133"/>
        <v>3691.2728999999999</v>
      </c>
      <c r="M181" s="85">
        <f t="shared" ca="1" si="133"/>
        <v>6069.0846299999994</v>
      </c>
      <c r="N181" s="85">
        <f t="shared" ref="N181" ca="1" si="134">OFFSET(N184,0,-1)</f>
        <v>11915.785161</v>
      </c>
    </row>
    <row r="182" spans="1:14">
      <c r="D182" s="7" t="s">
        <v>211</v>
      </c>
      <c r="F182" s="85"/>
      <c r="G182" s="85">
        <f ca="1">G184-G181-G183</f>
        <v>2331</v>
      </c>
      <c r="H182" s="85">
        <f ca="1">H184-H181-H183</f>
        <v>1726</v>
      </c>
      <c r="I182" s="85">
        <f t="shared" ref="I182" ca="1" si="135">I184-I181-I183</f>
        <v>-30</v>
      </c>
      <c r="J182" s="467">
        <f ca="1">J185*J11</f>
        <v>1555.8899999999999</v>
      </c>
      <c r="K182" s="467">
        <f ca="1">K185*K11</f>
        <v>2489.424</v>
      </c>
      <c r="L182" s="467">
        <f ca="1">L185*L11</f>
        <v>4978.848</v>
      </c>
      <c r="M182" s="467">
        <f ca="1">M185*M11</f>
        <v>10953.4656</v>
      </c>
      <c r="N182" s="467">
        <f ca="1">N185*N11</f>
        <v>19716.238080000003</v>
      </c>
    </row>
    <row r="183" spans="1:14">
      <c r="D183" s="7" t="s">
        <v>101</v>
      </c>
      <c r="F183" s="85"/>
      <c r="G183" s="85">
        <f>-G25</f>
        <v>-2521</v>
      </c>
      <c r="H183" s="85">
        <f t="shared" ref="H183:I183" si="136">-H25</f>
        <v>-2380</v>
      </c>
      <c r="I183" s="85">
        <f t="shared" si="136"/>
        <v>-1665</v>
      </c>
      <c r="J183" s="85">
        <f ca="1">(J181+J182)*-J186</f>
        <v>-1193.067</v>
      </c>
      <c r="K183" s="85">
        <f t="shared" ref="K183:N183" ca="1" si="137">(K181+K182)*-K186</f>
        <v>-1581.9740999999997</v>
      </c>
      <c r="L183" s="85">
        <f t="shared" ca="1" si="137"/>
        <v>-2601.0362700000001</v>
      </c>
      <c r="M183" s="85">
        <f t="shared" ca="1" si="137"/>
        <v>-5106.765069</v>
      </c>
      <c r="N183" s="85">
        <f t="shared" ca="1" si="137"/>
        <v>-9489.6069723000001</v>
      </c>
    </row>
    <row r="184" spans="1:14">
      <c r="D184" s="95" t="s">
        <v>191</v>
      </c>
      <c r="F184" s="99">
        <f>F61</f>
        <v>4960</v>
      </c>
      <c r="G184" s="99">
        <f>G61</f>
        <v>4770</v>
      </c>
      <c r="H184" s="99">
        <f>H61</f>
        <v>4116</v>
      </c>
      <c r="I184" s="99">
        <f>I61</f>
        <v>2421</v>
      </c>
      <c r="J184" s="99">
        <f t="shared" ref="J184:M184" ca="1" si="138">SUBTOTAL(9,J181:J183)</f>
        <v>2783.8229999999999</v>
      </c>
      <c r="K184" s="99">
        <f t="shared" ca="1" si="138"/>
        <v>3691.2728999999999</v>
      </c>
      <c r="L184" s="99">
        <f t="shared" ca="1" si="138"/>
        <v>6069.0846299999994</v>
      </c>
      <c r="M184" s="99">
        <f t="shared" ca="1" si="138"/>
        <v>11915.785161</v>
      </c>
      <c r="N184" s="99">
        <f t="shared" ref="N184" ca="1" si="139">SUBTOTAL(9,N181:N183)</f>
        <v>22142.416268700003</v>
      </c>
    </row>
    <row r="185" spans="1:14">
      <c r="D185" s="96" t="s">
        <v>212</v>
      </c>
      <c r="F185" s="97">
        <f ca="1">IFERROR(F182/ABS(F$11),"NA")</f>
        <v>0</v>
      </c>
      <c r="G185" s="97">
        <f ca="1">IFERROR(G182/ABS(G$11),"NA")</f>
        <v>0.19747543205692986</v>
      </c>
      <c r="H185" s="97">
        <f ca="1">IFERROR(H182/ABS(H$11),"NA")</f>
        <v>7.5668566418237618E-2</v>
      </c>
      <c r="I185" s="97">
        <f ca="1">IFERROR(I182/ABS(I$11),"NA")</f>
        <v>-8.0982588743420166E-4</v>
      </c>
      <c r="J185" s="100">
        <v>0.03</v>
      </c>
      <c r="K185" s="100">
        <v>0.03</v>
      </c>
      <c r="L185" s="100">
        <v>0.03</v>
      </c>
      <c r="M185" s="100">
        <v>0.03</v>
      </c>
      <c r="N185" s="100">
        <v>0.03</v>
      </c>
    </row>
    <row r="186" spans="1:14">
      <c r="D186" s="96" t="s">
        <v>213</v>
      </c>
      <c r="F186" s="97" t="str">
        <f>IFERROR(ABS(F183/(F182+F181)),"NA")</f>
        <v>NA</v>
      </c>
      <c r="G186" s="97">
        <f t="shared" ref="G186:I186" ca="1" si="140">IFERROR(ABS(G183/(G182+G181)),"NA")</f>
        <v>0.34576875600054863</v>
      </c>
      <c r="H186" s="97">
        <f t="shared" ca="1" si="140"/>
        <v>0.36637931034482757</v>
      </c>
      <c r="I186" s="97">
        <f t="shared" ca="1" si="140"/>
        <v>0.40748898678414097</v>
      </c>
      <c r="J186" s="100">
        <v>0.3</v>
      </c>
      <c r="K186" s="100">
        <v>0.3</v>
      </c>
      <c r="L186" s="100">
        <v>0.3</v>
      </c>
      <c r="M186" s="100">
        <v>0.3</v>
      </c>
      <c r="N186" s="100">
        <v>0.3</v>
      </c>
    </row>
    <row r="187" spans="1:14">
      <c r="D187" s="454"/>
      <c r="E187" s="455"/>
      <c r="F187" s="456"/>
      <c r="G187" s="456"/>
      <c r="H187" s="456"/>
      <c r="I187" s="456"/>
      <c r="J187" s="457"/>
      <c r="K187" s="457"/>
      <c r="L187" s="457"/>
      <c r="M187" s="457"/>
      <c r="N187" s="457"/>
    </row>
    <row r="188" spans="1:14">
      <c r="A188" s="94"/>
      <c r="D188" s="22" t="s">
        <v>214</v>
      </c>
      <c r="F188" s="20"/>
      <c r="G188" s="20"/>
      <c r="H188" s="20"/>
      <c r="I188" s="20"/>
      <c r="J188" s="20"/>
      <c r="K188" s="20"/>
      <c r="L188" s="20"/>
      <c r="M188" s="20"/>
      <c r="N188" s="20"/>
    </row>
    <row r="189" spans="1:14">
      <c r="D189" s="7" t="s">
        <v>189</v>
      </c>
      <c r="F189" s="475"/>
      <c r="G189" s="475">
        <f ca="1">OFFSET(G192,0,-1)</f>
        <v>0</v>
      </c>
      <c r="H189" s="475">
        <f t="shared" ref="H189:N189" ca="1" si="141">OFFSET(H192,0,-1)</f>
        <v>0</v>
      </c>
      <c r="I189" s="475">
        <f ca="1">OFFSET(I192,0,-1)</f>
        <v>0</v>
      </c>
      <c r="J189" s="475">
        <f t="shared" ca="1" si="141"/>
        <v>0</v>
      </c>
      <c r="K189" s="475">
        <f t="shared" ca="1" si="141"/>
        <v>237.9875877495513</v>
      </c>
      <c r="L189" s="475">
        <f t="shared" ca="1" si="141"/>
        <v>419.3189466222201</v>
      </c>
      <c r="M189" s="475">
        <f t="shared" ca="1" si="141"/>
        <v>318.35586749690447</v>
      </c>
      <c r="N189" s="475">
        <f t="shared" ca="1" si="141"/>
        <v>635.21380280526455</v>
      </c>
    </row>
    <row r="190" spans="1:14">
      <c r="D190" s="7" t="s">
        <v>211</v>
      </c>
      <c r="F190" s="475"/>
      <c r="G190" s="475">
        <f ca="1">G192-G189-G191</f>
        <v>177</v>
      </c>
      <c r="H190" s="475">
        <f t="shared" ref="H190:I190" ca="1" si="142">H192-H189-H191</f>
        <v>177</v>
      </c>
      <c r="I190" s="475">
        <f t="shared" ca="1" si="142"/>
        <v>177</v>
      </c>
      <c r="J190" s="474">
        <f ca="1">J193*J11</f>
        <v>475.97517549910259</v>
      </c>
      <c r="K190" s="474">
        <f ca="1">K193*K11</f>
        <v>600.65030549488893</v>
      </c>
      <c r="L190" s="474">
        <f ca="1">L193*L11</f>
        <v>1172.4603908623021</v>
      </c>
      <c r="M190" s="474">
        <f ca="1">M193*M11</f>
        <v>2857.7131465294196</v>
      </c>
      <c r="N190" s="474">
        <f ca="1">N193*N11</f>
        <v>4847.992410362398</v>
      </c>
    </row>
    <row r="191" spans="1:14">
      <c r="D191" s="7" t="s">
        <v>102</v>
      </c>
      <c r="F191" s="475"/>
      <c r="G191" s="475">
        <f>-G26</f>
        <v>-177</v>
      </c>
      <c r="H191" s="475">
        <f t="shared" ref="H191:I191" si="143">-H26</f>
        <v>-177</v>
      </c>
      <c r="I191" s="475">
        <f t="shared" si="143"/>
        <v>-177</v>
      </c>
      <c r="J191" s="475">
        <f ca="1">(J190+J189)*-J194</f>
        <v>-237.9875877495513</v>
      </c>
      <c r="K191" s="475">
        <f t="shared" ref="K191:N191" ca="1" si="144">(K190+K189)*-K194</f>
        <v>-419.3189466222201</v>
      </c>
      <c r="L191" s="475">
        <f t="shared" ca="1" si="144"/>
        <v>-1273.4234699876179</v>
      </c>
      <c r="M191" s="475">
        <f t="shared" ca="1" si="144"/>
        <v>-2540.8552112210596</v>
      </c>
      <c r="N191" s="475">
        <f t="shared" ca="1" si="144"/>
        <v>-4386.5649705341302</v>
      </c>
    </row>
    <row r="192" spans="1:14" ht="17.100000000000001" customHeight="1">
      <c r="D192" s="95" t="s">
        <v>191</v>
      </c>
      <c r="F192" s="99">
        <f>F63</f>
        <v>0</v>
      </c>
      <c r="G192" s="99">
        <f>G63</f>
        <v>0</v>
      </c>
      <c r="H192" s="99">
        <f t="shared" ref="H192:I192" si="145">H63</f>
        <v>0</v>
      </c>
      <c r="I192" s="99">
        <f t="shared" si="145"/>
        <v>0</v>
      </c>
      <c r="J192" s="99">
        <f t="shared" ref="J192:N192" ca="1" si="146">SUBTOTAL(9,J189:J191)</f>
        <v>237.9875877495513</v>
      </c>
      <c r="K192" s="99">
        <f t="shared" ca="1" si="146"/>
        <v>419.3189466222201</v>
      </c>
      <c r="L192" s="99">
        <f t="shared" ca="1" si="146"/>
        <v>318.35586749690447</v>
      </c>
      <c r="M192" s="99">
        <f t="shared" ca="1" si="146"/>
        <v>635.21380280526455</v>
      </c>
      <c r="N192" s="99">
        <f t="shared" ca="1" si="146"/>
        <v>1096.6412426335328</v>
      </c>
    </row>
    <row r="193" spans="4:14" ht="15.95" customHeight="1">
      <c r="D193" s="96" t="s">
        <v>212</v>
      </c>
      <c r="F193" s="97">
        <f ca="1">IFERROR(F190/ABS(F$11),"NA")</f>
        <v>0</v>
      </c>
      <c r="G193" s="97">
        <f ca="1">IFERROR(G190/ABS(G$11),"NA")</f>
        <v>1.4994916977295832E-2</v>
      </c>
      <c r="H193" s="97">
        <f ca="1">IFERROR(H190/ABS(H$11),"NA")</f>
        <v>7.7597544936431392E-3</v>
      </c>
      <c r="I193" s="97">
        <f ca="1">IFERROR(I190/ABS(I$11),"NA")</f>
        <v>4.77797273586179E-3</v>
      </c>
      <c r="J193" s="100">
        <f ca="1">AVERAGE(G193:I193)</f>
        <v>9.1775480689335869E-3</v>
      </c>
      <c r="K193" s="100">
        <f t="shared" ref="K193:N193" ca="1" si="147">AVERAGE(H193:J193)</f>
        <v>7.2384250994795051E-3</v>
      </c>
      <c r="L193" s="100">
        <f t="shared" ca="1" si="147"/>
        <v>7.0646486347582943E-3</v>
      </c>
      <c r="M193" s="100">
        <f t="shared" ca="1" si="147"/>
        <v>7.8268739343904624E-3</v>
      </c>
      <c r="N193" s="100">
        <f t="shared" ca="1" si="147"/>
        <v>7.3766492228760873E-3</v>
      </c>
    </row>
    <row r="194" spans="4:14">
      <c r="D194" s="96" t="s">
        <v>215</v>
      </c>
      <c r="F194" s="97" t="str">
        <f>IFERROR(ABS(F191/(F190+F189)),"NA")</f>
        <v>NA</v>
      </c>
      <c r="G194" s="97">
        <f t="shared" ref="G194:I194" ca="1" si="148">IFERROR(ABS(G191/(G190+G189)),"NA")</f>
        <v>1</v>
      </c>
      <c r="H194" s="97">
        <f t="shared" ca="1" si="148"/>
        <v>1</v>
      </c>
      <c r="I194" s="97">
        <f t="shared" ca="1" si="148"/>
        <v>1</v>
      </c>
      <c r="J194" s="100">
        <v>0.5</v>
      </c>
      <c r="K194" s="100">
        <v>0.5</v>
      </c>
      <c r="L194" s="100">
        <f ca="1">AVERAGE(G194:K194)</f>
        <v>0.8</v>
      </c>
      <c r="M194" s="100">
        <f t="shared" ref="M194:N194" ca="1" si="149">L194</f>
        <v>0.8</v>
      </c>
      <c r="N194" s="100">
        <f t="shared" ca="1" si="149"/>
        <v>0.8</v>
      </c>
    </row>
    <row r="196" spans="4:14">
      <c r="D196" s="10" t="s">
        <v>216</v>
      </c>
      <c r="F196" s="11"/>
      <c r="G196" s="11"/>
      <c r="H196" s="11"/>
      <c r="I196" s="11"/>
      <c r="J196" s="11"/>
      <c r="K196" s="11"/>
      <c r="L196" s="11"/>
      <c r="M196" s="11"/>
      <c r="N196" s="11"/>
    </row>
    <row r="197" spans="4:14">
      <c r="D197" s="22" t="s">
        <v>217</v>
      </c>
      <c r="F197" s="20"/>
      <c r="G197" s="20"/>
      <c r="H197" s="20"/>
      <c r="I197" s="20"/>
      <c r="J197" s="20"/>
      <c r="K197" s="20"/>
      <c r="L197" s="20"/>
      <c r="M197" s="20"/>
      <c r="N197" s="20"/>
    </row>
    <row r="198" spans="4:14" ht="17.100000000000001" customHeight="1">
      <c r="D198" s="7" t="s">
        <v>189</v>
      </c>
      <c r="F198" s="85"/>
      <c r="G198" s="85">
        <f t="shared" ref="G198:N198" ca="1" si="150">OFFSET(G200,0,-1)</f>
        <v>0</v>
      </c>
      <c r="H198" s="85">
        <f t="shared" ca="1" si="150"/>
        <v>0</v>
      </c>
      <c r="I198" s="85">
        <f t="shared" ca="1" si="150"/>
        <v>0</v>
      </c>
      <c r="J198" s="85">
        <f t="shared" ca="1" si="150"/>
        <v>0</v>
      </c>
      <c r="K198" s="85">
        <f t="shared" ca="1" si="150"/>
        <v>0</v>
      </c>
      <c r="L198" s="85">
        <f t="shared" ca="1" si="150"/>
        <v>0</v>
      </c>
      <c r="M198" s="85">
        <f t="shared" ca="1" si="150"/>
        <v>0</v>
      </c>
      <c r="N198" s="85">
        <f t="shared" ca="1" si="150"/>
        <v>0</v>
      </c>
    </row>
    <row r="199" spans="4:14">
      <c r="D199" s="7" t="s">
        <v>218</v>
      </c>
      <c r="F199" s="85">
        <f>F200-F198</f>
        <v>0</v>
      </c>
      <c r="G199" s="85">
        <f t="shared" ref="G199:I199" ca="1" si="151">G200-G198</f>
        <v>0</v>
      </c>
      <c r="H199" s="85">
        <f t="shared" ca="1" si="151"/>
        <v>0</v>
      </c>
      <c r="I199" s="85">
        <f t="shared" ca="1" si="151"/>
        <v>0</v>
      </c>
      <c r="J199" s="34">
        <f ca="1">AVERAGE(F199:I199)</f>
        <v>0</v>
      </c>
      <c r="K199" s="34">
        <f ca="1">J199</f>
        <v>0</v>
      </c>
      <c r="L199" s="34">
        <f t="shared" ref="L199:N199" ca="1" si="152">K199</f>
        <v>0</v>
      </c>
      <c r="M199" s="34">
        <f t="shared" ca="1" si="152"/>
        <v>0</v>
      </c>
      <c r="N199" s="34">
        <f t="shared" ca="1" si="152"/>
        <v>0</v>
      </c>
    </row>
    <row r="200" spans="4:14">
      <c r="D200" s="95" t="s">
        <v>191</v>
      </c>
      <c r="F200" s="414"/>
      <c r="G200" s="414"/>
      <c r="H200" s="414"/>
      <c r="I200" s="414"/>
      <c r="J200" s="99">
        <f ca="1">J198+J199</f>
        <v>0</v>
      </c>
      <c r="K200" s="99">
        <f ca="1">K198+K199</f>
        <v>0</v>
      </c>
      <c r="L200" s="99">
        <f ca="1">L198+L199</f>
        <v>0</v>
      </c>
      <c r="M200" s="99">
        <f ca="1">M198+M199</f>
        <v>0</v>
      </c>
      <c r="N200" s="99">
        <f ca="1">N198+N199</f>
        <v>0</v>
      </c>
    </row>
    <row r="202" spans="4:14">
      <c r="D202" s="22" t="s">
        <v>151</v>
      </c>
      <c r="F202" s="20"/>
      <c r="G202" s="20"/>
      <c r="H202" s="20"/>
      <c r="I202" s="20"/>
      <c r="J202" s="20"/>
      <c r="K202" s="20"/>
      <c r="L202" s="20"/>
      <c r="M202" s="20"/>
      <c r="N202" s="20"/>
    </row>
    <row r="203" spans="4:14" ht="21.6" customHeight="1">
      <c r="D203" s="7" t="s">
        <v>189</v>
      </c>
      <c r="F203" s="85"/>
      <c r="G203" s="85">
        <f t="shared" ref="G203:N203" ca="1" si="153">OFFSET(G205,0,-1)</f>
        <v>0</v>
      </c>
      <c r="H203" s="85">
        <f t="shared" ca="1" si="153"/>
        <v>0</v>
      </c>
      <c r="I203" s="85">
        <f t="shared" ca="1" si="153"/>
        <v>0</v>
      </c>
      <c r="J203" s="85">
        <f t="shared" ca="1" si="153"/>
        <v>0</v>
      </c>
      <c r="K203" s="85">
        <f t="shared" ca="1" si="153"/>
        <v>0</v>
      </c>
      <c r="L203" s="85">
        <f t="shared" ca="1" si="153"/>
        <v>0</v>
      </c>
      <c r="M203" s="85">
        <f t="shared" ca="1" si="153"/>
        <v>0</v>
      </c>
      <c r="N203" s="85">
        <f t="shared" ca="1" si="153"/>
        <v>0</v>
      </c>
    </row>
    <row r="204" spans="4:14" ht="12.95" customHeight="1">
      <c r="D204" s="7" t="s">
        <v>218</v>
      </c>
      <c r="F204" s="85">
        <f>F205-F203</f>
        <v>0</v>
      </c>
      <c r="G204" s="85">
        <f t="shared" ref="G204" ca="1" si="154">G205-G203</f>
        <v>0</v>
      </c>
      <c r="H204" s="85">
        <f t="shared" ref="H204" ca="1" si="155">H205-H203</f>
        <v>0</v>
      </c>
      <c r="I204" s="85">
        <f t="shared" ref="I204" ca="1" si="156">I205-I203</f>
        <v>0</v>
      </c>
      <c r="J204" s="34">
        <v>0</v>
      </c>
      <c r="K204" s="34">
        <v>0</v>
      </c>
      <c r="L204" s="34">
        <v>0</v>
      </c>
      <c r="M204" s="34">
        <v>0</v>
      </c>
      <c r="N204" s="34">
        <v>0</v>
      </c>
    </row>
    <row r="205" spans="4:14">
      <c r="D205" s="95" t="s">
        <v>191</v>
      </c>
      <c r="F205" s="99">
        <f>F75</f>
        <v>0</v>
      </c>
      <c r="G205" s="99">
        <f>G75</f>
        <v>0</v>
      </c>
      <c r="H205" s="99">
        <f>H75</f>
        <v>0</v>
      </c>
      <c r="I205" s="99">
        <f>I75</f>
        <v>0</v>
      </c>
      <c r="J205" s="99">
        <f ca="1">J203+J204</f>
        <v>0</v>
      </c>
      <c r="K205" s="99">
        <f ca="1">K203+K204</f>
        <v>0</v>
      </c>
      <c r="L205" s="99">
        <f ca="1">L203+L204</f>
        <v>0</v>
      </c>
      <c r="M205" s="99">
        <f ca="1">M203+M204</f>
        <v>0</v>
      </c>
      <c r="N205" s="99">
        <f ca="1">N203+N204</f>
        <v>0</v>
      </c>
    </row>
    <row r="207" spans="4:14">
      <c r="D207" s="22" t="s">
        <v>156</v>
      </c>
      <c r="F207" s="20"/>
      <c r="G207" s="20"/>
      <c r="H207" s="20"/>
      <c r="I207" s="20"/>
      <c r="J207" s="20"/>
      <c r="K207" s="20"/>
      <c r="L207" s="20"/>
      <c r="M207" s="20"/>
      <c r="N207" s="20"/>
    </row>
    <row r="208" spans="4:14">
      <c r="D208" s="7" t="s">
        <v>189</v>
      </c>
      <c r="F208" s="85"/>
      <c r="G208" s="85">
        <f t="shared" ref="G208:N208" ca="1" si="157">OFFSET(G210,0,-1)</f>
        <v>0</v>
      </c>
      <c r="H208" s="85">
        <f t="shared" ca="1" si="157"/>
        <v>0</v>
      </c>
      <c r="I208" s="85">
        <f t="shared" ca="1" si="157"/>
        <v>0</v>
      </c>
      <c r="J208" s="85">
        <f t="shared" ca="1" si="157"/>
        <v>0</v>
      </c>
      <c r="K208" s="85">
        <f t="shared" ca="1" si="157"/>
        <v>0</v>
      </c>
      <c r="L208" s="85">
        <f t="shared" ca="1" si="157"/>
        <v>0</v>
      </c>
      <c r="M208" s="85">
        <f t="shared" ca="1" si="157"/>
        <v>0</v>
      </c>
      <c r="N208" s="85">
        <f t="shared" ca="1" si="157"/>
        <v>0</v>
      </c>
    </row>
    <row r="209" spans="4:14">
      <c r="D209" s="7" t="s">
        <v>218</v>
      </c>
      <c r="F209" s="85">
        <f>F210-F208</f>
        <v>0</v>
      </c>
      <c r="G209" s="85">
        <f t="shared" ref="G209" ca="1" si="158">G210-G208</f>
        <v>0</v>
      </c>
      <c r="H209" s="85">
        <f t="shared" ref="H209" ca="1" si="159">H210-H208</f>
        <v>0</v>
      </c>
      <c r="I209" s="85">
        <f t="shared" ref="I209" ca="1" si="160">I210-I208</f>
        <v>0</v>
      </c>
      <c r="J209" s="34">
        <f ca="1">AVERAGE(F209:I209)</f>
        <v>0</v>
      </c>
      <c r="K209" s="34">
        <f ca="1">J209</f>
        <v>0</v>
      </c>
      <c r="L209" s="34">
        <f t="shared" ref="L209:N209" ca="1" si="161">K209</f>
        <v>0</v>
      </c>
      <c r="M209" s="34">
        <f t="shared" ca="1" si="161"/>
        <v>0</v>
      </c>
      <c r="N209" s="34">
        <f t="shared" ca="1" si="161"/>
        <v>0</v>
      </c>
    </row>
    <row r="210" spans="4:14">
      <c r="D210" s="95" t="s">
        <v>191</v>
      </c>
      <c r="F210" s="99">
        <f>F81</f>
        <v>0</v>
      </c>
      <c r="G210" s="99">
        <f t="shared" ref="G210:I210" si="162">G81</f>
        <v>0</v>
      </c>
      <c r="H210" s="99">
        <f t="shared" si="162"/>
        <v>0</v>
      </c>
      <c r="I210" s="99">
        <f t="shared" si="162"/>
        <v>0</v>
      </c>
      <c r="J210" s="99">
        <f ca="1">J208+J209</f>
        <v>0</v>
      </c>
      <c r="K210" s="99">
        <f ca="1">K208+K209</f>
        <v>0</v>
      </c>
      <c r="L210" s="99">
        <f ca="1">L208+L209</f>
        <v>0</v>
      </c>
      <c r="M210" s="99">
        <f ca="1">M208+M209</f>
        <v>0</v>
      </c>
      <c r="N210" s="99">
        <f ca="1">N208+N209</f>
        <v>0</v>
      </c>
    </row>
    <row r="211" spans="4:14">
      <c r="D211" s="5"/>
      <c r="E211" s="5"/>
      <c r="F211" s="5"/>
      <c r="G211" s="5"/>
      <c r="H211" s="5"/>
      <c r="I211" s="5"/>
      <c r="J211" s="5"/>
      <c r="K211" s="5"/>
      <c r="L211" s="5"/>
      <c r="M211" s="5"/>
      <c r="N211" s="5"/>
    </row>
    <row r="212" spans="4:14" ht="36">
      <c r="D212" s="435" t="s">
        <v>219</v>
      </c>
      <c r="F212" s="423" t="s">
        <v>220</v>
      </c>
      <c r="G212" s="423" t="s">
        <v>221</v>
      </c>
      <c r="H212" s="423" t="s">
        <v>222</v>
      </c>
      <c r="I212" s="423" t="s">
        <v>223</v>
      </c>
      <c r="J212" s="423"/>
      <c r="K212" s="422"/>
      <c r="L212" s="422"/>
      <c r="M212" s="422"/>
      <c r="N212" s="422"/>
    </row>
    <row r="213" spans="4:14">
      <c r="D213" s="426" t="s">
        <v>224</v>
      </c>
      <c r="F213" s="427"/>
      <c r="G213" s="427"/>
      <c r="H213" s="428"/>
      <c r="I213" s="428"/>
      <c r="J213" s="428"/>
      <c r="K213" s="428"/>
      <c r="L213" s="428"/>
      <c r="M213" s="428"/>
      <c r="N213" s="428"/>
    </row>
    <row r="214" spans="4:14">
      <c r="D214" s="463" t="s">
        <v>225</v>
      </c>
      <c r="F214" s="429">
        <f ca="1">DCF_Enterprise_Value</f>
        <v>18395334.7333319</v>
      </c>
      <c r="G214" s="429">
        <f ca="1">DCF_Equity_Value</f>
        <v>18836890.7333319</v>
      </c>
      <c r="H214" s="430">
        <f ca="1">DCF_Enterprise_Value_PerShare</f>
        <v>137.39140139914781</v>
      </c>
      <c r="I214" s="430">
        <f ca="1">DCF_Equity_Value_PerShare</f>
        <v>140.68930266137801</v>
      </c>
      <c r="J214" s="424"/>
      <c r="K214" s="424"/>
      <c r="L214" s="424"/>
      <c r="M214" s="424"/>
      <c r="N214" s="424"/>
    </row>
    <row r="215" spans="4:14">
      <c r="D215" s="434">
        <f>D216-2.5%</f>
        <v>2.0000000000000004E-2</v>
      </c>
      <c r="E215" s="2">
        <f t="dataTable" ref="E215:I219" dt2D="0" dtr="0" r1="AF11" ca="1"/>
        <v>0</v>
      </c>
      <c r="F215" s="432">
        <v>676542.71257269185</v>
      </c>
      <c r="G215" s="432">
        <v>1117336.712572692</v>
      </c>
      <c r="H215" s="433">
        <v>5.0529741771057717</v>
      </c>
      <c r="I215" s="433">
        <v>8.3451842002591086</v>
      </c>
      <c r="J215" s="425"/>
      <c r="K215" s="425"/>
      <c r="L215" s="425"/>
      <c r="M215" s="425"/>
      <c r="N215" s="425"/>
    </row>
    <row r="216" spans="4:14">
      <c r="D216" s="434">
        <f>D217-2.5%</f>
        <v>4.5000000000000005E-2</v>
      </c>
      <c r="E216" s="2">
        <v>0</v>
      </c>
      <c r="F216" s="432">
        <v>676542.71257269185</v>
      </c>
      <c r="G216" s="432">
        <v>1117336.712572692</v>
      </c>
      <c r="H216" s="433">
        <v>5.0529741771057717</v>
      </c>
      <c r="I216" s="433">
        <v>8.3451842002591086</v>
      </c>
      <c r="J216" s="425"/>
      <c r="K216" s="425"/>
      <c r="L216" s="425"/>
      <c r="M216" s="425"/>
      <c r="N216" s="425"/>
    </row>
    <row r="217" spans="4:14">
      <c r="D217" s="431">
        <f>7%</f>
        <v>7.0000000000000007E-2</v>
      </c>
      <c r="E217" s="2">
        <v>0</v>
      </c>
      <c r="F217" s="432">
        <v>676542.71257269185</v>
      </c>
      <c r="G217" s="432">
        <v>1117336.712572692</v>
      </c>
      <c r="H217" s="433">
        <v>5.0529741771057717</v>
      </c>
      <c r="I217" s="433">
        <v>8.3451842002591086</v>
      </c>
      <c r="J217" s="425"/>
      <c r="K217" s="425"/>
      <c r="L217" s="425"/>
      <c r="M217" s="425"/>
      <c r="N217" s="425"/>
    </row>
    <row r="218" spans="4:14">
      <c r="D218" s="434">
        <f>D217+2.5%</f>
        <v>9.5000000000000001E-2</v>
      </c>
      <c r="E218" s="2">
        <v>0</v>
      </c>
      <c r="F218" s="432">
        <v>676542.71257269185</v>
      </c>
      <c r="G218" s="432">
        <v>1117336.712572692</v>
      </c>
      <c r="H218" s="433">
        <v>5.0529741771057717</v>
      </c>
      <c r="I218" s="433">
        <v>8.3451842002591086</v>
      </c>
      <c r="J218" s="425"/>
      <c r="K218" s="425"/>
      <c r="L218" s="425"/>
      <c r="M218" s="425"/>
      <c r="N218" s="425"/>
    </row>
    <row r="219" spans="4:14">
      <c r="D219" s="434">
        <f>D218+2.5%</f>
        <v>0.12</v>
      </c>
      <c r="E219" s="2">
        <v>0</v>
      </c>
      <c r="F219" s="432">
        <v>676542.71257269185</v>
      </c>
      <c r="G219" s="432">
        <v>1117336.712572692</v>
      </c>
      <c r="H219" s="433">
        <v>5.0529741771057717</v>
      </c>
      <c r="I219" s="433">
        <v>8.3451842002591086</v>
      </c>
      <c r="J219" s="425"/>
      <c r="K219" s="425"/>
      <c r="L219" s="425"/>
      <c r="M219" s="425"/>
      <c r="N219" s="425"/>
    </row>
    <row r="221" spans="4:14">
      <c r="D221" s="426" t="s">
        <v>226</v>
      </c>
      <c r="F221" s="427"/>
      <c r="G221" s="427"/>
      <c r="H221" s="428"/>
      <c r="I221" s="428"/>
      <c r="J221" s="428"/>
      <c r="K221" s="428"/>
      <c r="L221" s="428"/>
      <c r="M221" s="428"/>
      <c r="N221" s="428"/>
    </row>
    <row r="222" spans="4:14">
      <c r="D222" s="463" t="s">
        <v>225</v>
      </c>
      <c r="F222" s="429">
        <f ca="1">DCF_Enterprise_Value</f>
        <v>18395334.7333319</v>
      </c>
      <c r="G222" s="429">
        <f ca="1">DCF_Equity_Value</f>
        <v>18836890.7333319</v>
      </c>
      <c r="H222" s="430">
        <f ca="1">DCF_Enterprise_Value_PerShare</f>
        <v>137.39140139914781</v>
      </c>
      <c r="I222" s="430">
        <f ca="1">DCF_Equity_Value_PerShare</f>
        <v>140.68930266137801</v>
      </c>
      <c r="J222" s="424"/>
      <c r="K222" s="424"/>
      <c r="L222" s="424"/>
      <c r="M222" s="424"/>
      <c r="N222" s="424"/>
    </row>
    <row r="223" spans="4:14">
      <c r="D223" s="434">
        <f>D224+2.5%</f>
        <v>0.60000000000000009</v>
      </c>
      <c r="E223" s="2">
        <f t="dataTable" ref="E223:I227" dt2D="0" dtr="0" r1="AF16" ca="1"/>
        <v>0</v>
      </c>
      <c r="F223" s="432">
        <v>676542.71257269185</v>
      </c>
      <c r="G223" s="432">
        <v>1117336.712572692</v>
      </c>
      <c r="H223" s="433">
        <v>5.0529741771057717</v>
      </c>
      <c r="I223" s="433">
        <v>8.3451842002591086</v>
      </c>
      <c r="J223" s="425"/>
      <c r="K223" s="425"/>
      <c r="L223" s="425"/>
      <c r="M223" s="425"/>
      <c r="N223" s="425"/>
    </row>
    <row r="224" spans="4:14">
      <c r="D224" s="434">
        <f>D225+2.5%</f>
        <v>0.57500000000000007</v>
      </c>
      <c r="E224" s="2">
        <v>0</v>
      </c>
      <c r="F224" s="432">
        <v>676542.71257269185</v>
      </c>
      <c r="G224" s="432">
        <v>1117336.712572692</v>
      </c>
      <c r="H224" s="433">
        <v>5.0529741771057717</v>
      </c>
      <c r="I224" s="433">
        <v>8.3451842002591086</v>
      </c>
      <c r="J224" s="425"/>
      <c r="K224" s="425"/>
      <c r="L224" s="425"/>
      <c r="M224" s="425"/>
      <c r="N224" s="425"/>
    </row>
    <row r="225" spans="4:14">
      <c r="D225" s="431">
        <f>55%</f>
        <v>0.55000000000000004</v>
      </c>
      <c r="E225" s="2">
        <v>0</v>
      </c>
      <c r="F225" s="432">
        <v>676542.71257269185</v>
      </c>
      <c r="G225" s="432">
        <v>1117336.712572692</v>
      </c>
      <c r="H225" s="433">
        <v>5.0529741771057717</v>
      </c>
      <c r="I225" s="433">
        <v>8.3451842002591086</v>
      </c>
      <c r="J225" s="425"/>
      <c r="K225" s="425"/>
      <c r="L225" s="425"/>
      <c r="M225" s="425"/>
      <c r="N225" s="425"/>
    </row>
    <row r="226" spans="4:14">
      <c r="D226" s="434">
        <f>D225-2.5%</f>
        <v>0.52500000000000002</v>
      </c>
      <c r="E226" s="2">
        <v>0</v>
      </c>
      <c r="F226" s="432">
        <v>676542.71257269185</v>
      </c>
      <c r="G226" s="432">
        <v>1117336.712572692</v>
      </c>
      <c r="H226" s="433">
        <v>5.0529741771057717</v>
      </c>
      <c r="I226" s="433">
        <v>8.3451842002591086</v>
      </c>
      <c r="J226" s="425"/>
      <c r="K226" s="425"/>
      <c r="L226" s="425"/>
      <c r="M226" s="425"/>
      <c r="N226" s="425"/>
    </row>
    <row r="227" spans="4:14">
      <c r="D227" s="434">
        <f>D226-2.5%</f>
        <v>0.5</v>
      </c>
      <c r="E227" s="2">
        <v>0</v>
      </c>
      <c r="F227" s="432">
        <v>676542.71257269185</v>
      </c>
      <c r="G227" s="432">
        <v>1117336.712572692</v>
      </c>
      <c r="H227" s="433">
        <v>5.0529741771057717</v>
      </c>
      <c r="I227" s="433">
        <v>8.3451842002591086</v>
      </c>
      <c r="J227" s="425"/>
      <c r="K227" s="425"/>
      <c r="L227" s="425"/>
      <c r="M227" s="425"/>
      <c r="N227" s="425"/>
    </row>
    <row r="229" spans="4:14">
      <c r="D229" s="426" t="s">
        <v>227</v>
      </c>
      <c r="F229" s="427"/>
      <c r="G229" s="427"/>
      <c r="H229" s="428"/>
      <c r="I229" s="428"/>
      <c r="J229" s="428"/>
      <c r="K229" s="428"/>
      <c r="L229" s="428"/>
      <c r="M229" s="428"/>
      <c r="N229" s="428"/>
    </row>
    <row r="230" spans="4:14">
      <c r="D230" s="463" t="s">
        <v>225</v>
      </c>
      <c r="F230" s="429">
        <f ca="1">DCF_Enterprise_Value</f>
        <v>18395334.7333319</v>
      </c>
      <c r="G230" s="429">
        <f ca="1">DCF_Equity_Value</f>
        <v>18836890.7333319</v>
      </c>
      <c r="H230" s="430">
        <f ca="1">DCF_Enterprise_Value_PerShare</f>
        <v>137.39140139914781</v>
      </c>
      <c r="I230" s="430">
        <f ca="1">DCF_Equity_Value_PerShare</f>
        <v>140.68930266137801</v>
      </c>
      <c r="J230" s="424"/>
      <c r="K230" s="424"/>
      <c r="L230" s="424"/>
      <c r="M230" s="424"/>
      <c r="N230" s="424"/>
    </row>
    <row r="231" spans="4:14">
      <c r="D231" s="434">
        <f>D232+2.5%</f>
        <v>0.35000000000000003</v>
      </c>
      <c r="E231" s="2">
        <f t="dataTable" ref="E231:I235" dt2D="0" dtr="0" r1="AF27" ca="1"/>
        <v>0</v>
      </c>
      <c r="F231" s="432">
        <v>676542.71257269185</v>
      </c>
      <c r="G231" s="432">
        <v>1117336.712572692</v>
      </c>
      <c r="H231" s="433">
        <v>5.0529741771057717</v>
      </c>
      <c r="I231" s="433">
        <v>8.3451842002591086</v>
      </c>
      <c r="J231" s="425"/>
      <c r="K231" s="425"/>
      <c r="L231" s="425"/>
      <c r="M231" s="425"/>
      <c r="N231" s="425"/>
    </row>
    <row r="232" spans="4:14">
      <c r="D232" s="434">
        <f>D233+2.5%</f>
        <v>0.32500000000000001</v>
      </c>
      <c r="E232" s="2">
        <v>0</v>
      </c>
      <c r="F232" s="432">
        <v>676542.71257269185</v>
      </c>
      <c r="G232" s="432">
        <v>1117336.712572692</v>
      </c>
      <c r="H232" s="433">
        <v>5.0529741771057717</v>
      </c>
      <c r="I232" s="433">
        <v>8.3451842002591086</v>
      </c>
      <c r="J232" s="425"/>
      <c r="K232" s="425"/>
      <c r="L232" s="425"/>
      <c r="M232" s="425"/>
      <c r="N232" s="425"/>
    </row>
    <row r="233" spans="4:14">
      <c r="D233" s="431">
        <f>30%</f>
        <v>0.3</v>
      </c>
      <c r="E233" s="2">
        <v>0</v>
      </c>
      <c r="F233" s="432">
        <v>676542.71257269185</v>
      </c>
      <c r="G233" s="432">
        <v>1117336.712572692</v>
      </c>
      <c r="H233" s="433">
        <v>5.0529741771057717</v>
      </c>
      <c r="I233" s="433">
        <v>8.3451842002591086</v>
      </c>
      <c r="J233" s="425"/>
      <c r="K233" s="425"/>
      <c r="L233" s="425"/>
      <c r="M233" s="425"/>
      <c r="N233" s="425"/>
    </row>
    <row r="234" spans="4:14">
      <c r="D234" s="434">
        <f>D233-2.5%</f>
        <v>0.27499999999999997</v>
      </c>
      <c r="E234" s="2">
        <v>0</v>
      </c>
      <c r="F234" s="432">
        <v>676542.71257269185</v>
      </c>
      <c r="G234" s="432">
        <v>1117336.712572692</v>
      </c>
      <c r="H234" s="433">
        <v>5.0529741771057717</v>
      </c>
      <c r="I234" s="433">
        <v>8.3451842002591086</v>
      </c>
      <c r="J234" s="425"/>
      <c r="K234" s="425"/>
      <c r="L234" s="425"/>
      <c r="M234" s="425"/>
      <c r="N234" s="425"/>
    </row>
    <row r="235" spans="4:14">
      <c r="D235" s="434">
        <f>D234-2.5%</f>
        <v>0.24999999999999997</v>
      </c>
      <c r="E235" s="2">
        <v>0</v>
      </c>
      <c r="F235" s="432">
        <v>676542.71257269185</v>
      </c>
      <c r="G235" s="432">
        <v>1117336.712572692</v>
      </c>
      <c r="H235" s="433">
        <v>5.0529741771057717</v>
      </c>
      <c r="I235" s="433">
        <v>8.3451842002591086</v>
      </c>
      <c r="J235" s="425"/>
      <c r="K235" s="425"/>
      <c r="L235" s="425"/>
      <c r="M235" s="425"/>
      <c r="N235" s="425"/>
    </row>
  </sheetData>
  <mergeCells count="1">
    <mergeCell ref="B49:B50"/>
  </mergeCells>
  <pageMargins left="0.7" right="0.7" top="0.75" bottom="0.75" header="0.3" footer="0.3"/>
  <pageSetup orientation="portrait" r:id="rId1"/>
  <ignoredErrors>
    <ignoredError sqref="J10:N10 L15 M15 N15 J190 J52:N52 J54:N54 L21 M21:N21 M22:N22 L22 K23:N23 J22:K22 J25:N26 J192:N192 K15 L190:N190" unlockedFormula="1"/>
  </ignoredError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8FEE8-4C11-4B57-9FE0-1C3C62FCAEDC}">
  <sheetPr>
    <tabColor theme="9"/>
    <pageSetUpPr fitToPage="1"/>
  </sheetPr>
  <dimension ref="A1:M65"/>
  <sheetViews>
    <sheetView showGridLines="0" view="pageBreakPreview" zoomScale="130" zoomScaleNormal="100" zoomScaleSheetLayoutView="130" workbookViewId="0">
      <pane ySplit="5" topLeftCell="A26" activePane="bottomLeft" state="frozen"/>
      <selection pane="bottomLeft" activeCell="F49" sqref="F49"/>
      <selection activeCell="Q21" sqref="Q21"/>
    </sheetView>
  </sheetViews>
  <sheetFormatPr defaultColWidth="8.85546875" defaultRowHeight="13.15"/>
  <cols>
    <col min="1" max="1" width="1.42578125" style="282" customWidth="1"/>
    <col min="2" max="2" width="32.28515625" style="282" customWidth="1"/>
    <col min="3" max="9" width="11.140625" style="282" customWidth="1"/>
    <col min="10" max="10" width="16.5703125" style="282" bestFit="1" customWidth="1"/>
    <col min="11" max="11" width="14.140625" style="282" bestFit="1" customWidth="1"/>
    <col min="12" max="12" width="12.42578125" style="282" bestFit="1" customWidth="1"/>
    <col min="13" max="13" width="8.85546875" style="282" bestFit="1" customWidth="1"/>
    <col min="14" max="16384" width="8.85546875" style="282"/>
  </cols>
  <sheetData>
    <row r="1" spans="1:12" s="281" customFormat="1" ht="7.35" customHeight="1">
      <c r="A1" s="36"/>
      <c r="B1" s="37"/>
      <c r="C1" s="37"/>
      <c r="D1" s="36"/>
      <c r="E1" s="36"/>
      <c r="F1" s="36"/>
      <c r="G1" s="36"/>
      <c r="H1" s="36"/>
      <c r="I1" s="36"/>
    </row>
    <row r="2" spans="1:12" s="281" customFormat="1" ht="6" customHeight="1">
      <c r="A2" s="77"/>
      <c r="B2" s="77"/>
      <c r="C2" s="77"/>
      <c r="D2" s="77"/>
      <c r="E2" s="77"/>
      <c r="F2" s="77"/>
      <c r="G2" s="77"/>
      <c r="H2" s="77"/>
      <c r="I2" s="77"/>
    </row>
    <row r="3" spans="1:12" s="281" customFormat="1" ht="46.5" customHeight="1">
      <c r="A3" s="38"/>
      <c r="B3" s="263" t="str">
        <f>Comp_Name</f>
        <v>Nu Scale</v>
      </c>
      <c r="C3" s="76" t="s">
        <v>228</v>
      </c>
      <c r="D3" s="40"/>
      <c r="E3" s="40"/>
      <c r="F3" s="40"/>
      <c r="G3" s="40"/>
      <c r="H3" s="40"/>
      <c r="I3" s="40"/>
    </row>
    <row r="4" spans="1:12" s="281" customFormat="1" ht="6" customHeight="1">
      <c r="A4" s="78"/>
      <c r="B4" s="78" t="s">
        <v>229</v>
      </c>
      <c r="C4" s="78"/>
      <c r="D4" s="78"/>
      <c r="E4" s="78"/>
      <c r="F4" s="78"/>
      <c r="G4" s="78"/>
      <c r="H4" s="78"/>
      <c r="I4" s="78"/>
    </row>
    <row r="5" spans="1:12" s="281" customFormat="1" ht="13.9">
      <c r="A5" s="39"/>
      <c r="B5" s="38"/>
      <c r="C5" s="39"/>
      <c r="D5" s="39"/>
      <c r="E5" s="39"/>
      <c r="F5" s="39"/>
      <c r="G5" s="39"/>
      <c r="H5" s="39"/>
      <c r="I5" s="39"/>
    </row>
    <row r="6" spans="1:12" s="281" customFormat="1" ht="14.1" customHeight="1">
      <c r="A6" s="79"/>
      <c r="B6" s="79" t="s">
        <v>230</v>
      </c>
      <c r="C6" s="80"/>
      <c r="D6" s="77"/>
      <c r="E6" s="77"/>
      <c r="F6" s="77"/>
      <c r="G6" s="81"/>
      <c r="H6" s="81"/>
      <c r="I6" s="82"/>
    </row>
    <row r="7" spans="1:12" ht="5.45" customHeight="1">
      <c r="A7" s="41"/>
      <c r="B7" s="41"/>
      <c r="C7" s="41"/>
      <c r="D7" s="41"/>
      <c r="E7" s="41"/>
      <c r="F7" s="41"/>
      <c r="G7" s="41"/>
      <c r="H7" s="41"/>
      <c r="I7" s="41"/>
    </row>
    <row r="8" spans="1:12" ht="13.9">
      <c r="A8" s="79"/>
      <c r="B8" s="79" t="s">
        <v>231</v>
      </c>
      <c r="C8" s="79"/>
      <c r="D8" s="40"/>
      <c r="E8" s="41"/>
      <c r="F8" s="167"/>
      <c r="G8" s="327"/>
      <c r="H8" s="328" t="s">
        <v>232</v>
      </c>
      <c r="I8" s="329">
        <f ca="1">Current_Price</f>
        <v>44.25</v>
      </c>
    </row>
    <row r="9" spans="1:12" ht="13.9">
      <c r="A9" s="36"/>
      <c r="B9" s="39" t="s">
        <v>233</v>
      </c>
      <c r="C9" s="280">
        <f>Risk_Free_Rate</f>
        <v>4.0899999999999999E-2</v>
      </c>
      <c r="D9" s="40"/>
      <c r="E9" s="41"/>
      <c r="F9" s="41"/>
      <c r="G9" s="41"/>
      <c r="H9" s="41"/>
      <c r="I9" s="41"/>
      <c r="L9" s="284"/>
    </row>
    <row r="10" spans="1:12" ht="14.45">
      <c r="A10" s="36"/>
      <c r="B10" s="39" t="s">
        <v>57</v>
      </c>
      <c r="C10" s="280">
        <f>Equity_Risk_Premium</f>
        <v>7.0000000000000007E-2</v>
      </c>
      <c r="D10" s="40"/>
      <c r="E10" s="41"/>
      <c r="F10" s="41"/>
      <c r="G10" s="41"/>
      <c r="H10" s="41"/>
      <c r="I10" s="41"/>
      <c r="L10" s="285"/>
    </row>
    <row r="11" spans="1:12" ht="14.45">
      <c r="A11" s="36"/>
      <c r="B11" s="39" t="s">
        <v>59</v>
      </c>
      <c r="C11" s="280">
        <f>Country_RP</f>
        <v>6.0000000000000001E-3</v>
      </c>
      <c r="D11" s="40"/>
      <c r="E11" s="41"/>
      <c r="F11" s="41"/>
      <c r="G11" s="41"/>
      <c r="H11" s="41"/>
      <c r="I11" s="41"/>
      <c r="L11" s="285"/>
    </row>
    <row r="12" spans="1:12" ht="14.45">
      <c r="A12" s="36"/>
      <c r="B12" s="39" t="s">
        <v>60</v>
      </c>
      <c r="C12" s="280">
        <f>Size_RP</f>
        <v>0</v>
      </c>
      <c r="D12" s="42"/>
      <c r="E12" s="41"/>
      <c r="F12" s="41"/>
      <c r="G12" s="41"/>
      <c r="H12" s="41"/>
      <c r="I12" s="41"/>
      <c r="L12" s="286"/>
    </row>
    <row r="13" spans="1:12" ht="14.45">
      <c r="A13" s="36"/>
      <c r="B13" s="43" t="s">
        <v>61</v>
      </c>
      <c r="C13" s="277">
        <f>Equity_Beta</f>
        <v>1.754</v>
      </c>
      <c r="D13" s="44"/>
      <c r="E13" s="41"/>
      <c r="F13" s="41"/>
      <c r="G13" s="41"/>
      <c r="H13" s="41"/>
      <c r="I13" s="41"/>
      <c r="L13" s="287"/>
    </row>
    <row r="14" spans="1:12" ht="13.9">
      <c r="A14" s="36"/>
      <c r="B14" s="45" t="s">
        <v>63</v>
      </c>
      <c r="C14" s="46">
        <f>Cost_of_Equity</f>
        <v>0.17420400000000003</v>
      </c>
      <c r="D14" s="40"/>
      <c r="E14" s="41"/>
      <c r="F14" s="41"/>
      <c r="G14" s="41"/>
      <c r="H14" s="41"/>
      <c r="I14" s="41"/>
    </row>
    <row r="15" spans="1:12" ht="5.45" customHeight="1">
      <c r="A15" s="41"/>
      <c r="B15" s="41"/>
      <c r="C15" s="41"/>
      <c r="D15" s="41"/>
      <c r="E15" s="41"/>
      <c r="F15" s="41"/>
      <c r="G15" s="41"/>
      <c r="H15" s="41"/>
      <c r="I15" s="41"/>
    </row>
    <row r="16" spans="1:12" ht="13.9">
      <c r="A16" s="79"/>
      <c r="B16" s="79" t="s">
        <v>51</v>
      </c>
      <c r="C16" s="79"/>
      <c r="D16" s="40"/>
      <c r="E16" s="41"/>
      <c r="F16" s="41"/>
      <c r="G16" s="41"/>
      <c r="H16" s="41"/>
      <c r="I16" s="41"/>
    </row>
    <row r="17" spans="1:12" ht="13.9">
      <c r="A17" s="36"/>
      <c r="B17" s="39" t="s">
        <v>54</v>
      </c>
      <c r="C17" s="276">
        <f>Tax_Rate</f>
        <v>0.17369999999999999</v>
      </c>
      <c r="D17" s="40"/>
      <c r="E17" s="41"/>
      <c r="F17" s="41"/>
      <c r="G17" s="41"/>
      <c r="H17" s="41"/>
      <c r="I17" s="41"/>
    </row>
    <row r="18" spans="1:12" ht="13.9">
      <c r="A18" s="36"/>
      <c r="B18" s="43" t="s">
        <v>53</v>
      </c>
      <c r="C18" s="277">
        <f>Debt_Adj_Factor</f>
        <v>1.38</v>
      </c>
      <c r="D18" s="40"/>
      <c r="E18" s="41"/>
      <c r="F18" s="41"/>
      <c r="G18" s="41"/>
      <c r="H18" s="41"/>
      <c r="I18" s="41"/>
    </row>
    <row r="19" spans="1:12" ht="13.9">
      <c r="A19" s="36"/>
      <c r="B19" s="45" t="s">
        <v>55</v>
      </c>
      <c r="C19" s="46">
        <f>Cost_of_Debt</f>
        <v>4.6638024599999994E-2</v>
      </c>
      <c r="D19" s="40"/>
      <c r="E19" s="41"/>
      <c r="F19" s="41"/>
      <c r="G19" s="41"/>
      <c r="H19" s="41"/>
      <c r="I19" s="41"/>
    </row>
    <row r="20" spans="1:12" ht="5.45" customHeight="1">
      <c r="A20" s="41"/>
      <c r="B20" s="41"/>
      <c r="C20" s="41"/>
      <c r="D20" s="41"/>
      <c r="E20" s="41"/>
      <c r="F20" s="41"/>
      <c r="G20" s="41"/>
      <c r="H20" s="41"/>
      <c r="I20" s="41"/>
    </row>
    <row r="21" spans="1:12" ht="13.9">
      <c r="A21" s="79"/>
      <c r="B21" s="79" t="s">
        <v>234</v>
      </c>
      <c r="C21" s="79"/>
      <c r="D21" s="79"/>
      <c r="E21" s="41"/>
      <c r="F21" s="41"/>
      <c r="G21" s="41"/>
      <c r="H21" s="41"/>
      <c r="I21" s="41"/>
    </row>
    <row r="22" spans="1:12" ht="13.9">
      <c r="A22" s="36"/>
      <c r="B22" s="45" t="str">
        <f>Assumptions!$A$25</f>
        <v>Equity Shares Outstanding (K)</v>
      </c>
      <c r="C22" s="295">
        <f>Shares_Out</f>
        <v>133890</v>
      </c>
      <c r="D22" s="40"/>
      <c r="E22" s="41"/>
      <c r="F22" s="41"/>
      <c r="G22" s="41"/>
      <c r="H22" s="41"/>
      <c r="I22" s="41"/>
    </row>
    <row r="23" spans="1:12" ht="13.9">
      <c r="A23" s="36"/>
      <c r="B23" s="47" t="str">
        <f>Assumptions!$A$26</f>
        <v>Company Capitalization ($K)</v>
      </c>
      <c r="C23" s="48"/>
      <c r="D23" s="39"/>
      <c r="E23" s="41"/>
      <c r="F23" s="41"/>
      <c r="G23" s="41"/>
      <c r="H23" s="49"/>
      <c r="I23" s="50"/>
    </row>
    <row r="24" spans="1:12" ht="13.9">
      <c r="A24" s="36"/>
      <c r="B24" s="51" t="s">
        <v>65</v>
      </c>
      <c r="C24" s="184">
        <f ca="1">Equity_MV</f>
        <v>5924632.5</v>
      </c>
      <c r="D24" s="168">
        <f ca="1">C24/C$26</f>
        <v>1</v>
      </c>
      <c r="E24" s="52"/>
      <c r="F24" s="41"/>
      <c r="G24" s="41"/>
      <c r="H24" s="41"/>
      <c r="I24" s="41"/>
    </row>
    <row r="25" spans="1:12" ht="13.9">
      <c r="A25" s="36"/>
      <c r="B25" s="51" t="s">
        <v>66</v>
      </c>
      <c r="C25" s="296">
        <f>Debt_MV</f>
        <v>0</v>
      </c>
      <c r="D25" s="168">
        <f ca="1">C25/C$26</f>
        <v>0</v>
      </c>
      <c r="E25" s="41"/>
      <c r="F25" s="41"/>
      <c r="G25" s="41"/>
      <c r="H25" s="41"/>
      <c r="I25" s="41"/>
    </row>
    <row r="26" spans="1:12" ht="14.45" thickBot="1">
      <c r="A26" s="36"/>
      <c r="B26" s="45" t="s">
        <v>67</v>
      </c>
      <c r="C26" s="183">
        <f ca="1">Total_Capitalization</f>
        <v>5924632.5</v>
      </c>
      <c r="D26" s="53">
        <f ca="1">D24+D25</f>
        <v>1</v>
      </c>
      <c r="E26" s="41"/>
      <c r="F26" s="41"/>
      <c r="G26" s="41"/>
      <c r="H26" s="41"/>
      <c r="I26" s="41"/>
    </row>
    <row r="27" spans="1:12" ht="14.45" thickBot="1">
      <c r="A27" s="36"/>
      <c r="B27" s="83" t="s">
        <v>68</v>
      </c>
      <c r="C27" s="84"/>
      <c r="D27" s="84">
        <f ca="1">IF(ISNUMBER(WACC_Override),WACC_Override,WACC)</f>
        <v>0.17420400000000003</v>
      </c>
      <c r="E27" s="41"/>
      <c r="F27" s="41"/>
      <c r="G27" s="41"/>
      <c r="H27" s="41"/>
      <c r="I27" s="41"/>
      <c r="K27" s="294" t="s">
        <v>235</v>
      </c>
      <c r="L27" s="326"/>
    </row>
    <row r="28" spans="1:12">
      <c r="A28" s="41"/>
      <c r="B28" s="41"/>
      <c r="C28" s="41"/>
      <c r="D28" s="41"/>
      <c r="E28" s="41"/>
      <c r="F28" s="41"/>
      <c r="G28" s="41"/>
      <c r="H28" s="41"/>
      <c r="I28" s="41"/>
    </row>
    <row r="29" spans="1:12" ht="13.9">
      <c r="A29" s="79"/>
      <c r="B29" s="79" t="str">
        <f>"Discounted Cash Flows ($"&amp;Scale_Symbol&amp;")"</f>
        <v>Discounted Cash Flows ($K)</v>
      </c>
      <c r="C29" s="80"/>
      <c r="D29" s="77"/>
      <c r="E29" s="77"/>
      <c r="F29" s="77"/>
      <c r="G29" s="81"/>
      <c r="H29" s="81"/>
      <c r="I29" s="82"/>
    </row>
    <row r="30" spans="1:12" ht="15.6">
      <c r="A30" s="38"/>
      <c r="B30" s="54"/>
      <c r="C30" s="55"/>
      <c r="D30" s="56" t="s">
        <v>236</v>
      </c>
      <c r="E30" s="57" t="s">
        <v>79</v>
      </c>
      <c r="F30" s="57"/>
      <c r="G30" s="57"/>
      <c r="H30" s="57"/>
      <c r="I30" s="57"/>
    </row>
    <row r="31" spans="1:12" ht="14.45" thickBot="1">
      <c r="A31" s="38"/>
      <c r="B31" s="58" t="s">
        <v>237</v>
      </c>
      <c r="C31" s="59"/>
      <c r="D31" s="440">
        <f ca="1">Financials!I6</f>
        <v>45657</v>
      </c>
      <c r="E31" s="440">
        <f ca="1">EOMONTH(D31,12)</f>
        <v>46022</v>
      </c>
      <c r="F31" s="440">
        <f t="shared" ref="F31:I31" ca="1" si="0">EOMONTH(E31,12)</f>
        <v>46387</v>
      </c>
      <c r="G31" s="440">
        <f t="shared" ca="1" si="0"/>
        <v>46752</v>
      </c>
      <c r="H31" s="440">
        <f t="shared" ca="1" si="0"/>
        <v>47118</v>
      </c>
      <c r="I31" s="440">
        <f t="shared" ca="1" si="0"/>
        <v>47483</v>
      </c>
    </row>
    <row r="32" spans="1:12" ht="7.5" customHeight="1">
      <c r="A32" s="38"/>
      <c r="B32" s="36"/>
      <c r="C32" s="38"/>
      <c r="D32" s="44"/>
      <c r="E32" s="44"/>
      <c r="F32" s="44"/>
      <c r="G32" s="44"/>
      <c r="H32" s="44"/>
      <c r="I32" s="44"/>
    </row>
    <row r="33" spans="1:13" ht="13.9">
      <c r="A33" s="38"/>
      <c r="B33" s="60" t="s">
        <v>100</v>
      </c>
      <c r="C33" s="61"/>
      <c r="D33" s="62">
        <f ca="1">INDEX(Financials!$24:$24,MATCH(D$31,Financials!$6:$6,0))</f>
        <v>-138725</v>
      </c>
      <c r="E33" s="62">
        <f ca="1">INDEX(Financials!$24:$24,MATCH(E$31,Financials!$6:$6,0))</f>
        <v>-137436.94999999998</v>
      </c>
      <c r="F33" s="62">
        <f ca="1">INDEX(Financials!$24:$24,MATCH(F$31,Financials!$6:$6,0))</f>
        <v>-124471.19999999998</v>
      </c>
      <c r="G33" s="62">
        <f ca="1">INDEX(Financials!$24:$24,MATCH(G$31,Financials!$6:$6,0))</f>
        <v>-66384.640000000014</v>
      </c>
      <c r="H33" s="62">
        <f ca="1">INDEX(Financials!$24:$24,MATCH(H$31,Financials!$6:$6,0))</f>
        <v>58418.483199999988</v>
      </c>
      <c r="I33" s="62">
        <f ca="1">INDEX(Financials!$24:$24,MATCH(I$31,Financials!$6:$6,0))</f>
        <v>131441.58720000007</v>
      </c>
    </row>
    <row r="34" spans="1:13" ht="13.9">
      <c r="A34" s="38"/>
      <c r="B34" s="64" t="s">
        <v>238</v>
      </c>
      <c r="C34" s="38"/>
      <c r="D34" s="65">
        <f>Financials!I39</f>
        <v>0</v>
      </c>
      <c r="E34" s="65">
        <f ca="1">Financials!J39</f>
        <v>0</v>
      </c>
      <c r="F34" s="65">
        <f ca="1">Financials!K39</f>
        <v>0</v>
      </c>
      <c r="G34" s="65">
        <f ca="1">Financials!L39</f>
        <v>0</v>
      </c>
      <c r="H34" s="65">
        <f ca="1">Financials!M39</f>
        <v>0</v>
      </c>
      <c r="I34" s="65">
        <f ca="1">Financials!N39</f>
        <v>0</v>
      </c>
    </row>
    <row r="35" spans="1:13" ht="13.9">
      <c r="A35" s="38"/>
      <c r="B35" s="60" t="s">
        <v>239</v>
      </c>
      <c r="C35" s="61"/>
      <c r="D35" s="62">
        <f ca="1">D33+D34</f>
        <v>-138725</v>
      </c>
      <c r="E35" s="62">
        <f t="shared" ref="E35:I35" ca="1" si="1">E33+E34</f>
        <v>-137436.94999999998</v>
      </c>
      <c r="F35" s="62">
        <f t="shared" ca="1" si="1"/>
        <v>-124471.19999999998</v>
      </c>
      <c r="G35" s="62">
        <f t="shared" ca="1" si="1"/>
        <v>-66384.640000000014</v>
      </c>
      <c r="H35" s="62">
        <f t="shared" ca="1" si="1"/>
        <v>58418.483199999988</v>
      </c>
      <c r="I35" s="62">
        <f t="shared" ca="1" si="1"/>
        <v>131441.58720000007</v>
      </c>
      <c r="L35" s="283"/>
    </row>
    <row r="36" spans="1:13" ht="13.9">
      <c r="A36" s="38"/>
      <c r="B36" s="63" t="s">
        <v>240</v>
      </c>
      <c r="C36" s="38"/>
      <c r="D36" s="65">
        <f ca="1">INDEX(Financials!$109:$109,MATCH(D$31,Financials!$6:$6,0))</f>
        <v>0</v>
      </c>
      <c r="E36" s="65">
        <f ca="1">INDEX(Financials!$109:$109,MATCH(E$31,Financials!$6:$6,0))</f>
        <v>-53055.573698630142</v>
      </c>
      <c r="F36" s="65">
        <f ca="1">INDEX(Financials!$109:$109,MATCH(F$31,Financials!$6:$6,0))</f>
        <v>35611.174520547946</v>
      </c>
      <c r="G36" s="65">
        <f ca="1">INDEX(Financials!$109:$109,MATCH(G$31,Financials!$6:$6,0))</f>
        <v>18700.362219178103</v>
      </c>
      <c r="H36" s="65">
        <f ca="1">INDEX(Financials!$109:$109,MATCH(H$31,Financials!$6:$6,0))</f>
        <v>105934.90717534241</v>
      </c>
      <c r="I36" s="65">
        <f ca="1">INDEX(Financials!$109:$109,MATCH(I$31,Financials!$6:$6,0))</f>
        <v>280186.54182273976</v>
      </c>
    </row>
    <row r="37" spans="1:13" ht="13.9">
      <c r="A37" s="38"/>
      <c r="B37" s="63" t="s">
        <v>241</v>
      </c>
      <c r="C37" s="38"/>
      <c r="D37" s="65">
        <f ca="1">INDEX(Financials!$110:$110,MATCH(D$31,Financials!$6:$6,0))</f>
        <v>0</v>
      </c>
      <c r="E37" s="65">
        <f ca="1">INDEX(Financials!$110:$110,MATCH(E$31,Financials!$6:$6,0))</f>
        <v>1431.0545877495513</v>
      </c>
      <c r="F37" s="65">
        <f ca="1">INDEX(Financials!$110:$110,MATCH(F$31,Financials!$6:$6,0))</f>
        <v>2001.2930466222197</v>
      </c>
      <c r="G37" s="65">
        <f ca="1">INDEX(Financials!$110:$110,MATCH(G$31,Financials!$6:$6,0))</f>
        <v>3874.4597399876179</v>
      </c>
      <c r="H37" s="65">
        <f ca="1">INDEX(Financials!$110:$110,MATCH(H$31,Financials!$6:$6,0))</f>
        <v>7647.6202802210591</v>
      </c>
      <c r="I37" s="65">
        <f ca="1">INDEX(Financials!$110:$110,MATCH(I$31,Financials!$6:$6,0))</f>
        <v>13876.171942834131</v>
      </c>
      <c r="L37" s="288"/>
    </row>
    <row r="38" spans="1:13" ht="13.9">
      <c r="A38" s="38"/>
      <c r="B38" s="63" t="s">
        <v>242</v>
      </c>
      <c r="C38" s="38"/>
      <c r="D38" s="65">
        <f ca="1">INDEX(Financials!$114:$114,MATCH(D$31,Financials!$6:$6,0))</f>
        <v>0</v>
      </c>
      <c r="E38" s="65">
        <f ca="1">INDEX(Financials!$114:$114,MATCH(E$31,Financials!$6:$6,0))</f>
        <v>-2031.8651754991024</v>
      </c>
      <c r="F38" s="65">
        <f ca="1">INDEX(Financials!$114:$114,MATCH(F$31,Financials!$6:$6,0))</f>
        <v>-3090.0743054948889</v>
      </c>
      <c r="G38" s="65">
        <f ca="1">INDEX(Financials!$114:$114,MATCH(G$31,Financials!$6:$6,0))</f>
        <v>-6151.3083908623021</v>
      </c>
      <c r="H38" s="65">
        <f ca="1">INDEX(Financials!$114:$114,MATCH(H$31,Financials!$6:$6,0))</f>
        <v>-13811.178746529418</v>
      </c>
      <c r="I38" s="65">
        <f ca="1">INDEX(Financials!$114:$114,MATCH(I$31,Financials!$6:$6,0))</f>
        <v>-24564.230490362403</v>
      </c>
      <c r="L38" s="283"/>
      <c r="M38" s="283"/>
    </row>
    <row r="39" spans="1:13" ht="12.75">
      <c r="A39" s="38"/>
      <c r="B39" s="66" t="s">
        <v>243</v>
      </c>
      <c r="C39" s="61"/>
      <c r="D39" s="62">
        <f t="shared" ref="D39" ca="1" si="2">SUM(D35:D38)</f>
        <v>-138725</v>
      </c>
      <c r="E39" s="62">
        <f t="shared" ref="E39:I39" ca="1" si="3">SUM(E35:E38)</f>
        <v>-191093.33428637969</v>
      </c>
      <c r="F39" s="62">
        <f t="shared" ca="1" si="3"/>
        <v>-89948.806738324711</v>
      </c>
      <c r="G39" s="62">
        <f t="shared" ca="1" si="3"/>
        <v>-49961.126431696597</v>
      </c>
      <c r="H39" s="62">
        <f t="shared" ca="1" si="3"/>
        <v>158189.83190903402</v>
      </c>
      <c r="I39" s="62">
        <f t="shared" ca="1" si="3"/>
        <v>400940.0704752116</v>
      </c>
      <c r="L39" s="289"/>
    </row>
    <row r="40" spans="1:13" ht="12.75">
      <c r="A40" s="38"/>
      <c r="B40" s="67" t="s">
        <v>244</v>
      </c>
      <c r="C40" s="38"/>
      <c r="D40" s="399">
        <f t="shared" ref="D40:I40" ca="1" si="4">(1+$D$27)^D41</f>
        <v>1</v>
      </c>
      <c r="E40" s="399">
        <f t="shared" ca="1" si="4"/>
        <v>1.0331001942356013</v>
      </c>
      <c r="F40" s="399">
        <f t="shared" ca="1" si="4"/>
        <v>1.2130703804722198</v>
      </c>
      <c r="G40" s="399">
        <f t="shared" ca="1" si="4"/>
        <v>1.4243920930320024</v>
      </c>
      <c r="H40" s="399">
        <f t="shared" ca="1" si="4"/>
        <v>1.6725268932065493</v>
      </c>
      <c r="I40" s="399">
        <f t="shared" ca="1" si="4"/>
        <v>1.9638877681107032</v>
      </c>
    </row>
    <row r="41" spans="1:13" ht="12.75">
      <c r="A41" s="38"/>
      <c r="B41" s="67" t="s">
        <v>245</v>
      </c>
      <c r="C41" s="38"/>
      <c r="D41" s="400">
        <v>0</v>
      </c>
      <c r="E41" s="400">
        <f ca="1">YEARFRAC(TODAY(),E$31)</f>
        <v>0.20277777777777778</v>
      </c>
      <c r="F41" s="400">
        <f ca="1">E41+1</f>
        <v>1.2027777777777777</v>
      </c>
      <c r="G41" s="400">
        <f ca="1">F41+1</f>
        <v>2.2027777777777775</v>
      </c>
      <c r="H41" s="400">
        <f ca="1">G41+1</f>
        <v>3.2027777777777775</v>
      </c>
      <c r="I41" s="400">
        <f ca="1">H41+1</f>
        <v>4.2027777777777775</v>
      </c>
    </row>
    <row r="42" spans="1:13" ht="12.75">
      <c r="A42" s="38"/>
      <c r="B42" s="39"/>
      <c r="C42" s="38"/>
      <c r="D42" s="68"/>
      <c r="E42" s="68"/>
      <c r="F42" s="68"/>
      <c r="G42" s="68"/>
      <c r="H42" s="68"/>
      <c r="I42" s="68"/>
    </row>
    <row r="43" spans="1:13" ht="12.75">
      <c r="A43" s="38"/>
      <c r="B43" s="69" t="s">
        <v>246</v>
      </c>
      <c r="C43" s="61"/>
      <c r="D43" s="70"/>
      <c r="E43" s="70">
        <f t="shared" ref="E43:I43" ca="1" si="5">E39/E40</f>
        <v>-184970.76600374767</v>
      </c>
      <c r="F43" s="70">
        <f t="shared" ca="1" si="5"/>
        <v>-74149.701605367489</v>
      </c>
      <c r="G43" s="70">
        <f t="shared" ca="1" si="5"/>
        <v>-35075.402816473019</v>
      </c>
      <c r="H43" s="70">
        <f t="shared" ca="1" si="5"/>
        <v>94581.338304076111</v>
      </c>
      <c r="I43" s="70">
        <f t="shared" ca="1" si="5"/>
        <v>204156.30515430291</v>
      </c>
    </row>
    <row r="44" spans="1:13" ht="15">
      <c r="A44" s="38"/>
      <c r="B44" s="39"/>
      <c r="C44" s="38"/>
      <c r="D44" s="41"/>
      <c r="E44" s="71"/>
      <c r="F44" s="71"/>
      <c r="G44" s="71"/>
      <c r="H44" s="71"/>
      <c r="I44" s="72" t="s">
        <v>247</v>
      </c>
    </row>
    <row r="45" spans="1:13" ht="12.75" customHeight="1">
      <c r="A45" s="41"/>
      <c r="B45" s="174" t="s">
        <v>248</v>
      </c>
      <c r="C45" s="175" t="s">
        <v>249</v>
      </c>
      <c r="D45" s="176" t="s">
        <v>250</v>
      </c>
      <c r="E45" s="41"/>
      <c r="H45" s="41"/>
      <c r="I45" s="41"/>
      <c r="J45" s="511" t="s">
        <v>251</v>
      </c>
      <c r="K45" s="511"/>
    </row>
    <row r="46" spans="1:13" ht="12.75">
      <c r="A46" s="41"/>
      <c r="B46" s="73" t="s">
        <v>73</v>
      </c>
      <c r="C46" s="297">
        <f>Terminal_Rate</f>
        <v>0.02</v>
      </c>
      <c r="D46" s="74"/>
      <c r="E46" s="41"/>
      <c r="H46" s="41"/>
      <c r="I46" s="41"/>
      <c r="J46" s="516" t="s">
        <v>252</v>
      </c>
      <c r="K46" s="512">
        <f ca="1">'EV-Sales Multiples'!D29</f>
        <v>107.67237736964498</v>
      </c>
    </row>
    <row r="47" spans="1:13" ht="12.75">
      <c r="A47" s="41"/>
      <c r="B47" s="73" t="s">
        <v>253</v>
      </c>
      <c r="C47" s="169">
        <f ca="1">K49</f>
        <v>36032171.51425764</v>
      </c>
      <c r="D47" s="185">
        <f ca="1">C47/Shares_Out</f>
        <v>269.11771987644812</v>
      </c>
      <c r="E47" s="162"/>
      <c r="H47" s="41"/>
      <c r="I47" s="41"/>
      <c r="J47" s="517" t="s">
        <v>254</v>
      </c>
      <c r="K47" s="513">
        <f ca="1">Financials!N11</f>
        <v>657207.9360000001</v>
      </c>
      <c r="L47" s="392"/>
    </row>
    <row r="48" spans="1:13" ht="12.75">
      <c r="A48" s="41"/>
      <c r="B48" s="73" t="s">
        <v>255</v>
      </c>
      <c r="C48" s="169">
        <f ca="1">C47/I$40</f>
        <v>18347367.960299108</v>
      </c>
      <c r="D48" s="185">
        <f ca="1">C48/Shares_Out</f>
        <v>137.03314631637247</v>
      </c>
      <c r="E48" s="41"/>
      <c r="H48" s="41"/>
      <c r="I48" s="41"/>
      <c r="J48" s="517" t="s">
        <v>256</v>
      </c>
      <c r="K48" s="514">
        <f ca="1">K46*K47</f>
        <v>70763140.895317495</v>
      </c>
    </row>
    <row r="49" spans="1:11" ht="12.75">
      <c r="A49" s="41"/>
      <c r="B49" s="73" t="s">
        <v>257</v>
      </c>
      <c r="C49" s="169">
        <f ca="1">SUM(D$43:I$43)</f>
        <v>4541.7730327908066</v>
      </c>
      <c r="D49" s="185">
        <f ca="1">C49/Shares_Out</f>
        <v>3.3921674753833793E-2</v>
      </c>
      <c r="E49" s="41"/>
      <c r="H49" s="41"/>
      <c r="I49" s="41"/>
      <c r="J49" s="518" t="s">
        <v>258</v>
      </c>
      <c r="K49" s="515">
        <f ca="1">K48/I40</f>
        <v>36032171.51425764</v>
      </c>
    </row>
    <row r="50" spans="1:11" ht="13.9">
      <c r="A50" s="41"/>
      <c r="B50" s="75" t="s">
        <v>259</v>
      </c>
      <c r="C50" s="170">
        <f ca="1">C48+C49</f>
        <v>18351909.7333319</v>
      </c>
      <c r="D50" s="186">
        <f ca="1">D48+D49</f>
        <v>137.06706799112629</v>
      </c>
      <c r="E50" s="162"/>
      <c r="F50" s="162"/>
      <c r="G50" s="41"/>
      <c r="H50" s="41"/>
      <c r="I50" s="41"/>
    </row>
    <row r="51" spans="1:11" ht="13.9">
      <c r="A51" s="41"/>
      <c r="B51" s="106" t="s">
        <v>260</v>
      </c>
      <c r="C51" s="171">
        <f ca="1" xml:space="preserve"> SUMIF(BS_Start:BS_End,"NOA",OFFSET(BS_Start,0,MATCH($D$31,Financials!$6:$6,0)-COLUMN(BS_Start))) -
   SUMIF(BS_Start:BS_End,"NOL",OFFSET(BS_Start,0,MATCH($D$31,Financials!$6:$6,0)-COLUMN(BS_Start)))</f>
        <v>43425</v>
      </c>
      <c r="D51" s="187">
        <f ca="1">C51/Shares_Out</f>
        <v>0.32433340802151017</v>
      </c>
      <c r="E51" s="41"/>
      <c r="F51" s="41"/>
      <c r="G51" s="41"/>
      <c r="H51" s="41"/>
      <c r="I51" s="41"/>
    </row>
    <row r="52" spans="1:11" ht="13.9">
      <c r="A52" s="41"/>
      <c r="B52" s="165" t="s">
        <v>220</v>
      </c>
      <c r="C52" s="172">
        <f ca="1">C50+C51</f>
        <v>18395334.7333319</v>
      </c>
      <c r="D52" s="188">
        <f ca="1">D50+D51</f>
        <v>137.39140139914781</v>
      </c>
      <c r="E52" s="41"/>
      <c r="F52" s="41"/>
      <c r="G52" s="41"/>
      <c r="H52" s="41"/>
      <c r="I52" s="41"/>
    </row>
    <row r="53" spans="1:11" ht="14.45" thickBot="1">
      <c r="A53" s="41"/>
      <c r="B53" s="164" t="s">
        <v>261</v>
      </c>
      <c r="C53" s="171">
        <f ca="1" xml:space="preserve"> SUMIF(BS_Start:BS_End,"Cash",OFFSET(BS_Start,0,MATCH($D$31,Financials!$6:$6,0)-COLUMN(BS_Start))) -
   SUMIF(BS_Start:BS_End,"FC",OFFSET(BS_Start,0,MATCH($D$31,Financials!$6:$6,0)-COLUMN(BS_Start)))</f>
        <v>441556</v>
      </c>
      <c r="D53" s="185">
        <f ca="1">C53/Shares_Out</f>
        <v>3.2979012622301891</v>
      </c>
      <c r="E53" s="41"/>
      <c r="F53" s="41"/>
      <c r="G53" s="41"/>
      <c r="H53" s="41"/>
      <c r="I53" s="41"/>
    </row>
    <row r="54" spans="1:11" ht="15" thickTop="1" thickBot="1">
      <c r="A54" s="41"/>
      <c r="B54" s="105" t="s">
        <v>262</v>
      </c>
      <c r="C54" s="173">
        <f ca="1">C52+C53</f>
        <v>18836890.7333319</v>
      </c>
      <c r="D54" s="189">
        <f ca="1">C54/Shares_Out</f>
        <v>140.68930266137801</v>
      </c>
      <c r="E54" s="41"/>
      <c r="F54" s="41"/>
      <c r="G54" s="41"/>
      <c r="H54" s="41"/>
      <c r="I54" s="41"/>
    </row>
    <row r="55" spans="1:11" ht="13.9" thickTop="1"/>
    <row r="56" spans="1:11">
      <c r="C56" s="290" t="s">
        <v>263</v>
      </c>
      <c r="D56" s="291"/>
      <c r="E56" s="291"/>
      <c r="F56" s="291"/>
      <c r="G56" s="292"/>
    </row>
    <row r="57" spans="1:11">
      <c r="B57" s="324">
        <f ca="1">$D$54</f>
        <v>140.68930266137801</v>
      </c>
      <c r="C57" s="298">
        <v>0.01</v>
      </c>
      <c r="D57" s="298">
        <f>C57+0.5%</f>
        <v>1.4999999999999999E-2</v>
      </c>
      <c r="E57" s="299">
        <f>Terminal_Rate</f>
        <v>0.02</v>
      </c>
      <c r="F57" s="298">
        <f>E57+0.5%</f>
        <v>2.5000000000000001E-2</v>
      </c>
      <c r="G57" s="298">
        <f>F57+0.5%</f>
        <v>3.0000000000000002E-2</v>
      </c>
      <c r="H57" s="293" t="s">
        <v>73</v>
      </c>
    </row>
    <row r="58" spans="1:11">
      <c r="B58" s="322">
        <f ca="1">B59-1%</f>
        <v>0.144204</v>
      </c>
      <c r="C58" s="300">
        <f t="dataTable" ref="C58:G64" dt2D="1" dtr="1" r1="C46" r2="D27" ca="1"/>
        <v>9.8131137930975108</v>
      </c>
      <c r="D58" s="301">
        <v>10.090756625832148</v>
      </c>
      <c r="E58" s="302">
        <v>10.390753234027684</v>
      </c>
      <c r="F58" s="301">
        <v>10.715916498392106</v>
      </c>
      <c r="G58" s="303">
        <v>11.069551905970814</v>
      </c>
    </row>
    <row r="59" spans="1:11">
      <c r="B59" s="322">
        <f ca="1">B60-1%</f>
        <v>0.15420400000000001</v>
      </c>
      <c r="C59" s="304">
        <v>9.1178160403455077</v>
      </c>
      <c r="D59" s="305">
        <v>9.3510461982146253</v>
      </c>
      <c r="E59" s="306">
        <v>9.6016551345008647</v>
      </c>
      <c r="F59" s="305">
        <v>9.8716604467728448</v>
      </c>
      <c r="G59" s="307">
        <v>10.163404617074521</v>
      </c>
    </row>
    <row r="60" spans="1:11">
      <c r="B60" s="322">
        <f ca="1">B61-1%</f>
        <v>0.16420400000000002</v>
      </c>
      <c r="C60" s="304">
        <v>8.5176953365690888</v>
      </c>
      <c r="D60" s="308">
        <v>8.7156327861996754</v>
      </c>
      <c r="E60" s="309">
        <v>8.9272964465893647</v>
      </c>
      <c r="F60" s="310">
        <v>9.1541653927746989</v>
      </c>
      <c r="G60" s="307">
        <v>9.3979391216926906</v>
      </c>
    </row>
    <row r="61" spans="1:11">
      <c r="B61" s="323">
        <f ca="1">WACC</f>
        <v>0.17420400000000003</v>
      </c>
      <c r="C61" s="311">
        <v>7.9952005430540014</v>
      </c>
      <c r="D61" s="312">
        <v>8.1646965352264864</v>
      </c>
      <c r="E61" s="330">
        <v>8.3451842002591086</v>
      </c>
      <c r="F61" s="313">
        <v>8.5377685694707459</v>
      </c>
      <c r="G61" s="314">
        <v>8.7437079336347896</v>
      </c>
    </row>
    <row r="62" spans="1:11">
      <c r="B62" s="322">
        <f t="shared" ref="B62:B64" ca="1" si="6">B61+1%</f>
        <v>0.18420400000000003</v>
      </c>
      <c r="C62" s="304">
        <v>7.5368171408118334</v>
      </c>
      <c r="D62" s="315">
        <v>7.6831097660129384</v>
      </c>
      <c r="E62" s="316">
        <v>7.8383115910630794</v>
      </c>
      <c r="F62" s="317">
        <v>8.0032620295306032</v>
      </c>
      <c r="G62" s="307">
        <v>8.1789093655148957</v>
      </c>
    </row>
    <row r="63" spans="1:11">
      <c r="B63" s="322">
        <f t="shared" ca="1" si="6"/>
        <v>0.19420400000000004</v>
      </c>
      <c r="C63" s="304">
        <v>7.1319712184674726</v>
      </c>
      <c r="D63" s="305">
        <v>7.2591274779532977</v>
      </c>
      <c r="E63" s="306">
        <v>7.3935830106754334</v>
      </c>
      <c r="F63" s="305">
        <v>7.5359849000275601</v>
      </c>
      <c r="G63" s="307">
        <v>7.6870590439747142</v>
      </c>
    </row>
    <row r="64" spans="1:11">
      <c r="B64" s="322">
        <f t="shared" ca="1" si="6"/>
        <v>0.20420400000000005</v>
      </c>
      <c r="C64" s="318">
        <v>6.7722720947607975</v>
      </c>
      <c r="D64" s="319">
        <v>6.8834931356337998</v>
      </c>
      <c r="E64" s="320">
        <v>7.0007521040693428</v>
      </c>
      <c r="F64" s="319">
        <v>7.1245543956692954</v>
      </c>
      <c r="G64" s="321">
        <v>7.2554634294565687</v>
      </c>
    </row>
    <row r="65" spans="2:2">
      <c r="B65" s="325" t="s">
        <v>68</v>
      </c>
    </row>
  </sheetData>
  <pageMargins left="0.7" right="0.7" top="0.75" bottom="0.75" header="0.3" footer="0.3"/>
  <pageSetup scale="81" orientation="portrait" r:id="rId1"/>
  <cellWatches>
    <cellWatch r="C52"/>
  </cellWatche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9C6A1-FAFB-4254-9B04-F8E28498ADAF}">
  <sheetPr>
    <tabColor theme="9"/>
    <pageSetUpPr fitToPage="1"/>
  </sheetPr>
  <dimension ref="A1:M68"/>
  <sheetViews>
    <sheetView showGridLines="0" view="pageBreakPreview" zoomScaleNormal="100" zoomScaleSheetLayoutView="100" workbookViewId="0">
      <pane ySplit="5" topLeftCell="A41" activePane="bottomLeft" state="frozen"/>
      <selection pane="bottomLeft" activeCell="C47" sqref="C47"/>
      <selection activeCell="Q21" sqref="Q21"/>
    </sheetView>
  </sheetViews>
  <sheetFormatPr defaultColWidth="8.85546875" defaultRowHeight="13.15"/>
  <cols>
    <col min="1" max="1" width="1.42578125" style="282" customWidth="1"/>
    <col min="2" max="2" width="33.7109375" style="282" customWidth="1"/>
    <col min="3" max="4" width="11.140625" style="282" customWidth="1"/>
    <col min="5" max="5" width="12.42578125" style="282" customWidth="1"/>
    <col min="6" max="6" width="15.28515625" style="282" customWidth="1"/>
    <col min="7" max="9" width="11.140625" style="282" customWidth="1"/>
    <col min="10" max="11" width="8.85546875" style="282"/>
    <col min="12" max="12" width="12.42578125" style="282" bestFit="1" customWidth="1"/>
    <col min="13" max="16384" width="8.85546875" style="282"/>
  </cols>
  <sheetData>
    <row r="1" spans="1:12" s="281" customFormat="1" ht="7.35" customHeight="1">
      <c r="A1" s="36"/>
      <c r="B1" s="37"/>
      <c r="C1" s="37"/>
      <c r="D1" s="36"/>
      <c r="E1" s="36"/>
      <c r="F1" s="36"/>
      <c r="G1" s="36"/>
      <c r="H1" s="36"/>
      <c r="I1" s="36"/>
    </row>
    <row r="2" spans="1:12" s="281" customFormat="1" ht="6" customHeight="1">
      <c r="A2" s="77"/>
      <c r="B2" s="77"/>
      <c r="C2" s="77"/>
      <c r="D2" s="77"/>
      <c r="E2" s="77"/>
      <c r="F2" s="77"/>
      <c r="G2" s="77"/>
      <c r="H2" s="77"/>
      <c r="I2" s="77"/>
    </row>
    <row r="3" spans="1:12" s="281" customFormat="1" ht="46.5" customHeight="1">
      <c r="A3" s="38"/>
      <c r="B3" s="263" t="str">
        <f>Comp_Name</f>
        <v>Nu Scale</v>
      </c>
      <c r="C3" s="76" t="s">
        <v>228</v>
      </c>
      <c r="D3" s="40"/>
      <c r="E3" s="40"/>
      <c r="F3" s="40"/>
      <c r="G3" s="40"/>
      <c r="H3" s="40"/>
      <c r="I3" s="40"/>
    </row>
    <row r="4" spans="1:12" s="281" customFormat="1" ht="6" customHeight="1">
      <c r="A4" s="78"/>
      <c r="B4" s="78"/>
      <c r="C4" s="78"/>
      <c r="D4" s="78"/>
      <c r="E4" s="78"/>
      <c r="F4" s="78"/>
      <c r="G4" s="78"/>
      <c r="H4" s="78"/>
      <c r="I4" s="78"/>
    </row>
    <row r="5" spans="1:12" s="281" customFormat="1" ht="13.9">
      <c r="A5" s="39"/>
      <c r="B5" s="38"/>
      <c r="C5" s="39"/>
      <c r="D5" s="39"/>
      <c r="E5" s="39"/>
      <c r="F5" s="39"/>
      <c r="G5" s="39"/>
      <c r="H5" s="39"/>
      <c r="I5" s="39"/>
    </row>
    <row r="6" spans="1:12" s="281" customFormat="1" ht="14.1" customHeight="1">
      <c r="A6" s="79"/>
      <c r="B6" s="79" t="s">
        <v>230</v>
      </c>
      <c r="C6" s="80"/>
      <c r="D6" s="77"/>
      <c r="E6" s="77"/>
      <c r="F6" s="77"/>
      <c r="G6" s="81"/>
      <c r="H6" s="81"/>
      <c r="I6" s="82"/>
    </row>
    <row r="7" spans="1:12" ht="5.45" customHeight="1">
      <c r="A7" s="41"/>
      <c r="B7" s="41"/>
      <c r="C7" s="41"/>
      <c r="D7" s="41"/>
      <c r="E7" s="41"/>
      <c r="F7" s="41"/>
      <c r="G7" s="41"/>
      <c r="H7" s="41"/>
      <c r="I7" s="41"/>
    </row>
    <row r="8" spans="1:12" ht="13.9">
      <c r="A8" s="79"/>
      <c r="B8" s="79" t="s">
        <v>231</v>
      </c>
      <c r="C8" s="79"/>
      <c r="D8" s="40"/>
      <c r="E8" s="41"/>
      <c r="F8" s="167"/>
      <c r="G8" s="327"/>
      <c r="H8" s="328" t="s">
        <v>232</v>
      </c>
      <c r="I8" s="329">
        <f ca="1">Current_Price</f>
        <v>44.25</v>
      </c>
    </row>
    <row r="9" spans="1:12" ht="13.9">
      <c r="A9" s="36"/>
      <c r="B9" s="39" t="s">
        <v>233</v>
      </c>
      <c r="C9" s="280">
        <f>Risk_Free_Rate</f>
        <v>4.0899999999999999E-2</v>
      </c>
      <c r="D9" s="40"/>
      <c r="E9" s="41"/>
      <c r="F9" s="41"/>
      <c r="G9" s="41"/>
      <c r="H9" s="41"/>
      <c r="I9" s="41"/>
      <c r="L9" s="284"/>
    </row>
    <row r="10" spans="1:12" ht="14.45">
      <c r="A10" s="36"/>
      <c r="B10" s="39" t="s">
        <v>57</v>
      </c>
      <c r="C10" s="280">
        <f>Equity_Risk_Premium</f>
        <v>7.0000000000000007E-2</v>
      </c>
      <c r="D10" s="40"/>
      <c r="E10" s="41"/>
      <c r="F10" s="41"/>
      <c r="G10" s="41"/>
      <c r="H10" s="41"/>
      <c r="I10" s="41"/>
      <c r="L10" s="285"/>
    </row>
    <row r="11" spans="1:12" ht="14.45">
      <c r="A11" s="36"/>
      <c r="B11" s="39" t="s">
        <v>59</v>
      </c>
      <c r="C11" s="280">
        <f>Country_RP</f>
        <v>6.0000000000000001E-3</v>
      </c>
      <c r="D11" s="40"/>
      <c r="E11" s="41"/>
      <c r="F11" s="41"/>
      <c r="G11" s="41"/>
      <c r="H11" s="41"/>
      <c r="I11" s="41"/>
      <c r="L11" s="285"/>
    </row>
    <row r="12" spans="1:12" ht="14.45">
      <c r="A12" s="36"/>
      <c r="B12" s="39" t="s">
        <v>60</v>
      </c>
      <c r="C12" s="280">
        <f>Size_RP</f>
        <v>0</v>
      </c>
      <c r="D12" s="42"/>
      <c r="E12" s="41"/>
      <c r="F12" s="41"/>
      <c r="G12" s="41"/>
      <c r="H12" s="41"/>
      <c r="I12" s="41"/>
      <c r="L12" s="286"/>
    </row>
    <row r="13" spans="1:12" ht="14.45">
      <c r="A13" s="36"/>
      <c r="B13" s="43" t="s">
        <v>61</v>
      </c>
      <c r="C13" s="277">
        <f>Equity_Beta</f>
        <v>1.754</v>
      </c>
      <c r="D13" s="44"/>
      <c r="E13" s="41"/>
      <c r="F13" s="41"/>
      <c r="G13" s="41"/>
      <c r="H13" s="41"/>
      <c r="I13" s="41"/>
      <c r="L13" s="287"/>
    </row>
    <row r="14" spans="1:12" ht="13.9">
      <c r="A14" s="36"/>
      <c r="B14" s="45" t="s">
        <v>63</v>
      </c>
      <c r="C14" s="46">
        <f>Cost_of_Equity</f>
        <v>0.17420400000000003</v>
      </c>
      <c r="D14" s="40"/>
      <c r="E14" s="41"/>
      <c r="F14" s="41"/>
      <c r="G14" s="41"/>
      <c r="H14" s="41"/>
      <c r="I14" s="41"/>
    </row>
    <row r="15" spans="1:12" ht="5.45" customHeight="1">
      <c r="A15" s="41"/>
      <c r="B15" s="41"/>
      <c r="C15" s="41"/>
      <c r="D15" s="41"/>
      <c r="E15" s="41"/>
      <c r="F15" s="41"/>
      <c r="G15" s="41"/>
      <c r="H15" s="41"/>
      <c r="I15" s="41"/>
    </row>
    <row r="16" spans="1:12" ht="13.9">
      <c r="A16" s="79"/>
      <c r="B16" s="79" t="s">
        <v>51</v>
      </c>
      <c r="C16" s="79"/>
      <c r="D16" s="40"/>
      <c r="E16" s="41"/>
      <c r="F16" s="41"/>
      <c r="G16" s="41"/>
      <c r="H16" s="41"/>
      <c r="I16" s="41"/>
    </row>
    <row r="17" spans="1:12" ht="13.9">
      <c r="A17" s="36"/>
      <c r="B17" s="39" t="s">
        <v>54</v>
      </c>
      <c r="C17" s="276">
        <f>Tax_Rate</f>
        <v>0.17369999999999999</v>
      </c>
      <c r="D17" s="40"/>
      <c r="E17" s="41"/>
      <c r="F17" s="41"/>
      <c r="G17" s="41"/>
      <c r="H17" s="41"/>
      <c r="I17" s="41"/>
    </row>
    <row r="18" spans="1:12" ht="13.9">
      <c r="A18" s="36"/>
      <c r="B18" s="43" t="s">
        <v>53</v>
      </c>
      <c r="C18" s="277">
        <f>Debt_Adj_Factor</f>
        <v>1.38</v>
      </c>
      <c r="D18" s="40"/>
      <c r="E18" s="41"/>
      <c r="F18" s="41"/>
      <c r="G18" s="41"/>
      <c r="H18" s="41"/>
      <c r="I18" s="41"/>
    </row>
    <row r="19" spans="1:12" ht="13.9">
      <c r="A19" s="36"/>
      <c r="B19" s="45" t="s">
        <v>55</v>
      </c>
      <c r="C19" s="46">
        <f>Cost_of_Debt</f>
        <v>4.6638024599999994E-2</v>
      </c>
      <c r="D19" s="40"/>
      <c r="E19" s="41"/>
      <c r="F19" s="41"/>
      <c r="G19" s="41"/>
      <c r="H19" s="41"/>
      <c r="I19" s="41"/>
    </row>
    <row r="20" spans="1:12" ht="5.45" customHeight="1">
      <c r="A20" s="41"/>
      <c r="B20" s="41"/>
      <c r="C20" s="41"/>
      <c r="D20" s="41"/>
      <c r="E20" s="41"/>
      <c r="F20" s="41"/>
      <c r="G20" s="41"/>
      <c r="H20" s="41"/>
      <c r="I20" s="41"/>
    </row>
    <row r="21" spans="1:12" ht="13.9">
      <c r="A21" s="79"/>
      <c r="B21" s="79" t="s">
        <v>234</v>
      </c>
      <c r="C21" s="79"/>
      <c r="D21" s="79"/>
      <c r="E21" s="41"/>
      <c r="F21" s="41"/>
      <c r="G21" s="41"/>
      <c r="H21" s="41"/>
      <c r="I21" s="41"/>
    </row>
    <row r="22" spans="1:12" ht="13.9">
      <c r="A22" s="36"/>
      <c r="B22" s="45" t="str">
        <f>Assumptions!$A$25</f>
        <v>Equity Shares Outstanding (K)</v>
      </c>
      <c r="C22" s="295">
        <f>Shares_Out</f>
        <v>133890</v>
      </c>
      <c r="D22" s="40"/>
      <c r="E22" s="41"/>
      <c r="F22" s="41"/>
      <c r="G22" s="41"/>
      <c r="H22" s="41"/>
      <c r="I22" s="41"/>
    </row>
    <row r="23" spans="1:12" ht="13.9">
      <c r="A23" s="36"/>
      <c r="B23" s="47" t="str">
        <f>Assumptions!$A$26</f>
        <v>Company Capitalization ($K)</v>
      </c>
      <c r="C23" s="48"/>
      <c r="D23" s="39"/>
      <c r="E23" s="41"/>
      <c r="F23" s="41"/>
      <c r="G23" s="41"/>
      <c r="H23" s="49"/>
      <c r="I23" s="50"/>
    </row>
    <row r="24" spans="1:12" ht="13.9">
      <c r="A24" s="36"/>
      <c r="B24" s="51" t="s">
        <v>65</v>
      </c>
      <c r="C24" s="184">
        <f ca="1">Equity_MV</f>
        <v>5924632.5</v>
      </c>
      <c r="D24" s="168">
        <f ca="1">C24/C$26</f>
        <v>1</v>
      </c>
      <c r="E24" s="52"/>
      <c r="F24" s="41"/>
      <c r="G24" s="41"/>
      <c r="H24" s="41"/>
      <c r="I24" s="41"/>
    </row>
    <row r="25" spans="1:12" ht="13.9">
      <c r="A25" s="36"/>
      <c r="B25" s="51" t="s">
        <v>66</v>
      </c>
      <c r="C25" s="296">
        <f>Debt_MV</f>
        <v>0</v>
      </c>
      <c r="D25" s="168">
        <f ca="1">C25/C$26</f>
        <v>0</v>
      </c>
      <c r="E25" s="41"/>
      <c r="F25" s="41"/>
      <c r="G25" s="41"/>
      <c r="H25" s="41"/>
      <c r="I25" s="41"/>
    </row>
    <row r="26" spans="1:12" ht="14.45" thickBot="1">
      <c r="A26" s="36"/>
      <c r="B26" s="45" t="s">
        <v>67</v>
      </c>
      <c r="C26" s="183">
        <f ca="1">Total_Capitalization</f>
        <v>5924632.5</v>
      </c>
      <c r="D26" s="53">
        <f ca="1">D24+D25</f>
        <v>1</v>
      </c>
      <c r="E26" s="41"/>
      <c r="F26" s="41"/>
      <c r="G26" s="41"/>
      <c r="H26" s="41"/>
      <c r="I26" s="41"/>
    </row>
    <row r="27" spans="1:12" ht="14.45" thickBot="1">
      <c r="A27" s="36"/>
      <c r="B27" s="83" t="s">
        <v>68</v>
      </c>
      <c r="C27" s="84"/>
      <c r="D27" s="84">
        <f ca="1">IF(ISNUMBER(WACC_Override),WACC_Override,WACC)</f>
        <v>0.17420400000000003</v>
      </c>
      <c r="E27" s="41"/>
      <c r="F27" s="41"/>
      <c r="G27" s="41"/>
      <c r="H27" s="41"/>
      <c r="I27" s="41"/>
      <c r="K27" s="294" t="s">
        <v>235</v>
      </c>
      <c r="L27" s="326"/>
    </row>
    <row r="28" spans="1:12">
      <c r="A28" s="41"/>
      <c r="B28" s="41"/>
      <c r="C28" s="41"/>
      <c r="D28" s="41"/>
      <c r="E28" s="41"/>
      <c r="F28" s="41"/>
      <c r="G28" s="41"/>
      <c r="H28" s="41"/>
      <c r="I28" s="41"/>
    </row>
    <row r="29" spans="1:12" ht="13.9">
      <c r="A29" s="79"/>
      <c r="B29" s="79" t="str">
        <f>"Discounted Cash Flows ($"&amp;Scale_Symbol&amp;")"</f>
        <v>Discounted Cash Flows ($K)</v>
      </c>
      <c r="C29" s="80"/>
      <c r="D29" s="77"/>
      <c r="E29" s="77"/>
      <c r="F29" s="77"/>
      <c r="G29" s="81"/>
      <c r="H29" s="81"/>
      <c r="I29" s="82"/>
    </row>
    <row r="30" spans="1:12" ht="15.6">
      <c r="A30" s="38"/>
      <c r="B30" s="54"/>
      <c r="C30" s="55"/>
      <c r="D30" s="56" t="s">
        <v>236</v>
      </c>
      <c r="E30" s="57" t="s">
        <v>79</v>
      </c>
      <c r="F30" s="57"/>
      <c r="G30" s="57"/>
      <c r="H30" s="57"/>
      <c r="I30" s="57"/>
    </row>
    <row r="31" spans="1:12" ht="14.45" thickBot="1">
      <c r="A31" s="38"/>
      <c r="B31" s="58" t="s">
        <v>237</v>
      </c>
      <c r="C31" s="59"/>
      <c r="D31" s="440">
        <f ca="1">Financials!I6</f>
        <v>45657</v>
      </c>
      <c r="E31" s="440">
        <f ca="1">EOMONTH(D31,12)</f>
        <v>46022</v>
      </c>
      <c r="F31" s="440">
        <f t="shared" ref="F31:I31" ca="1" si="0">EOMONTH(E31,12)</f>
        <v>46387</v>
      </c>
      <c r="G31" s="440">
        <f t="shared" ca="1" si="0"/>
        <v>46752</v>
      </c>
      <c r="H31" s="440">
        <f t="shared" ca="1" si="0"/>
        <v>47118</v>
      </c>
      <c r="I31" s="440">
        <f t="shared" ca="1" si="0"/>
        <v>47483</v>
      </c>
    </row>
    <row r="32" spans="1:12" ht="7.5" customHeight="1">
      <c r="A32" s="38"/>
      <c r="B32" s="36"/>
      <c r="C32" s="38"/>
      <c r="D32" s="44"/>
      <c r="E32" s="44"/>
      <c r="F32" s="44"/>
      <c r="G32" s="44"/>
      <c r="H32" s="44"/>
      <c r="I32" s="44"/>
    </row>
    <row r="33" spans="1:13" ht="13.9">
      <c r="A33" s="38"/>
      <c r="B33" s="60" t="s">
        <v>100</v>
      </c>
      <c r="C33" s="61"/>
      <c r="D33" s="62">
        <f ca="1">INDEX(Financials!$24:$24,MATCH(D$31,Financials!$6:$6,0))</f>
        <v>-138725</v>
      </c>
      <c r="E33" s="62">
        <f ca="1">INDEX(Financials!$24:$24,MATCH(E$31,Financials!$6:$6,0))</f>
        <v>-137436.94999999998</v>
      </c>
      <c r="F33" s="62">
        <f ca="1">INDEX(Financials!$24:$24,MATCH(F$31,Financials!$6:$6,0))</f>
        <v>-124471.19999999998</v>
      </c>
      <c r="G33" s="62">
        <f ca="1">INDEX(Financials!$24:$24,MATCH(G$31,Financials!$6:$6,0))</f>
        <v>-66384.640000000014</v>
      </c>
      <c r="H33" s="62">
        <f ca="1">INDEX(Financials!$24:$24,MATCH(H$31,Financials!$6:$6,0))</f>
        <v>58418.483199999988</v>
      </c>
      <c r="I33" s="62">
        <f ca="1">INDEX(Financials!$24:$24,MATCH(I$31,Financials!$6:$6,0))</f>
        <v>131441.58720000007</v>
      </c>
    </row>
    <row r="34" spans="1:13" ht="13.9">
      <c r="A34" s="38"/>
      <c r="B34" s="64" t="s">
        <v>238</v>
      </c>
      <c r="C34" s="38"/>
      <c r="D34" s="65">
        <f>Financials!I39</f>
        <v>0</v>
      </c>
      <c r="E34" s="65">
        <f ca="1">Financials!J39</f>
        <v>0</v>
      </c>
      <c r="F34" s="65">
        <f ca="1">Financials!K39</f>
        <v>0</v>
      </c>
      <c r="G34" s="65">
        <f ca="1">Financials!L39</f>
        <v>0</v>
      </c>
      <c r="H34" s="65">
        <f ca="1">Financials!M39</f>
        <v>0</v>
      </c>
      <c r="I34" s="65">
        <f ca="1">Financials!N39</f>
        <v>0</v>
      </c>
    </row>
    <row r="35" spans="1:13" ht="13.9">
      <c r="A35" s="38"/>
      <c r="B35" s="60" t="s">
        <v>239</v>
      </c>
      <c r="C35" s="61"/>
      <c r="D35" s="62">
        <f ca="1">D33+D34</f>
        <v>-138725</v>
      </c>
      <c r="E35" s="62">
        <f t="shared" ref="E35:I35" ca="1" si="1">E33+E34</f>
        <v>-137436.94999999998</v>
      </c>
      <c r="F35" s="62">
        <f t="shared" ca="1" si="1"/>
        <v>-124471.19999999998</v>
      </c>
      <c r="G35" s="62">
        <f t="shared" ca="1" si="1"/>
        <v>-66384.640000000014</v>
      </c>
      <c r="H35" s="62">
        <f t="shared" ca="1" si="1"/>
        <v>58418.483199999988</v>
      </c>
      <c r="I35" s="62">
        <f t="shared" ca="1" si="1"/>
        <v>131441.58720000007</v>
      </c>
      <c r="L35" s="283"/>
    </row>
    <row r="36" spans="1:13" ht="13.9">
      <c r="A36" s="38"/>
      <c r="B36" s="63" t="s">
        <v>240</v>
      </c>
      <c r="C36" s="38"/>
      <c r="D36" s="65">
        <f ca="1">INDEX(Financials!$109:$109,MATCH(D$31,Financials!$6:$6,0))</f>
        <v>0</v>
      </c>
      <c r="E36" s="65">
        <f ca="1">INDEX(Financials!$109:$109,MATCH(E$31,Financials!$6:$6,0))</f>
        <v>-53055.573698630142</v>
      </c>
      <c r="F36" s="65">
        <f ca="1">INDEX(Financials!$109:$109,MATCH(F$31,Financials!$6:$6,0))</f>
        <v>35611.174520547946</v>
      </c>
      <c r="G36" s="65">
        <f ca="1">INDEX(Financials!$109:$109,MATCH(G$31,Financials!$6:$6,0))</f>
        <v>18700.362219178103</v>
      </c>
      <c r="H36" s="65">
        <f ca="1">INDEX(Financials!$109:$109,MATCH(H$31,Financials!$6:$6,0))</f>
        <v>105934.90717534241</v>
      </c>
      <c r="I36" s="65">
        <f ca="1">INDEX(Financials!$109:$109,MATCH(I$31,Financials!$6:$6,0))</f>
        <v>280186.54182273976</v>
      </c>
    </row>
    <row r="37" spans="1:13" ht="13.9">
      <c r="A37" s="38"/>
      <c r="B37" s="63" t="s">
        <v>241</v>
      </c>
      <c r="C37" s="38"/>
      <c r="D37" s="65">
        <f ca="1">INDEX(Financials!$110:$110,MATCH(D$31,Financials!$6:$6,0))</f>
        <v>0</v>
      </c>
      <c r="E37" s="65">
        <f ca="1">INDEX(Financials!$110:$110,MATCH(E$31,Financials!$6:$6,0))</f>
        <v>1431.0545877495513</v>
      </c>
      <c r="F37" s="65">
        <f ca="1">INDEX(Financials!$110:$110,MATCH(F$31,Financials!$6:$6,0))</f>
        <v>2001.2930466222197</v>
      </c>
      <c r="G37" s="65">
        <f ca="1">INDEX(Financials!$110:$110,MATCH(G$31,Financials!$6:$6,0))</f>
        <v>3874.4597399876179</v>
      </c>
      <c r="H37" s="65">
        <f ca="1">INDEX(Financials!$110:$110,MATCH(H$31,Financials!$6:$6,0))</f>
        <v>7647.6202802210591</v>
      </c>
      <c r="I37" s="65">
        <f ca="1">INDEX(Financials!$110:$110,MATCH(I$31,Financials!$6:$6,0))</f>
        <v>13876.171942834131</v>
      </c>
      <c r="L37" s="288"/>
    </row>
    <row r="38" spans="1:13" ht="13.9">
      <c r="A38" s="38"/>
      <c r="B38" s="63" t="s">
        <v>242</v>
      </c>
      <c r="C38" s="38"/>
      <c r="D38" s="65">
        <f ca="1">INDEX(Financials!$114:$114,MATCH(D$31,Financials!$6:$6,0))</f>
        <v>0</v>
      </c>
      <c r="E38" s="65">
        <f ca="1">INDEX(Financials!$114:$114,MATCH(E$31,Financials!$6:$6,0))</f>
        <v>-2031.8651754991024</v>
      </c>
      <c r="F38" s="65">
        <f ca="1">INDEX(Financials!$114:$114,MATCH(F$31,Financials!$6:$6,0))</f>
        <v>-3090.0743054948889</v>
      </c>
      <c r="G38" s="65">
        <f ca="1">INDEX(Financials!$114:$114,MATCH(G$31,Financials!$6:$6,0))</f>
        <v>-6151.3083908623021</v>
      </c>
      <c r="H38" s="65">
        <f ca="1">INDEX(Financials!$114:$114,MATCH(H$31,Financials!$6:$6,0))</f>
        <v>-13811.178746529418</v>
      </c>
      <c r="I38" s="65">
        <f ca="1">INDEX(Financials!$114:$114,MATCH(I$31,Financials!$6:$6,0))</f>
        <v>-24564.230490362403</v>
      </c>
      <c r="L38" s="283"/>
      <c r="M38" s="283"/>
    </row>
    <row r="39" spans="1:13" ht="27" customHeight="1">
      <c r="A39" s="38"/>
      <c r="B39" s="66" t="s">
        <v>243</v>
      </c>
      <c r="C39" s="61"/>
      <c r="D39" s="62">
        <f t="shared" ref="D39" ca="1" si="2">SUM(D35:D38)</f>
        <v>-138725</v>
      </c>
      <c r="E39" s="62">
        <f t="shared" ref="E39:I39" ca="1" si="3">SUM(E35:E38)</f>
        <v>-191093.33428637969</v>
      </c>
      <c r="F39" s="62">
        <f t="shared" ca="1" si="3"/>
        <v>-89948.806738324711</v>
      </c>
      <c r="G39" s="62">
        <f t="shared" ca="1" si="3"/>
        <v>-49961.126431696597</v>
      </c>
      <c r="H39" s="62">
        <f t="shared" ca="1" si="3"/>
        <v>158189.83190903402</v>
      </c>
      <c r="I39" s="62">
        <f t="shared" ca="1" si="3"/>
        <v>400940.0704752116</v>
      </c>
      <c r="L39" s="289"/>
    </row>
    <row r="40" spans="1:13" ht="12.75">
      <c r="A40" s="38"/>
      <c r="B40" s="67" t="s">
        <v>244</v>
      </c>
      <c r="C40" s="38"/>
      <c r="D40" s="399">
        <f t="shared" ref="D40:I40" ca="1" si="4">(1+$D$27)^D41</f>
        <v>1</v>
      </c>
      <c r="E40" s="399">
        <f t="shared" ca="1" si="4"/>
        <v>1.0331001942356013</v>
      </c>
      <c r="F40" s="399">
        <f t="shared" ca="1" si="4"/>
        <v>1.2130703804722198</v>
      </c>
      <c r="G40" s="399">
        <f t="shared" ca="1" si="4"/>
        <v>1.4243920930320024</v>
      </c>
      <c r="H40" s="399">
        <f t="shared" ca="1" si="4"/>
        <v>1.6725268932065493</v>
      </c>
      <c r="I40" s="399">
        <f t="shared" ca="1" si="4"/>
        <v>1.9638877681107032</v>
      </c>
    </row>
    <row r="41" spans="1:13" ht="12.75">
      <c r="A41" s="38"/>
      <c r="B41" s="67" t="s">
        <v>245</v>
      </c>
      <c r="C41" s="38"/>
      <c r="D41" s="400">
        <v>0</v>
      </c>
      <c r="E41" s="400">
        <f ca="1">YEARFRAC(TODAY(),E$31)</f>
        <v>0.20277777777777778</v>
      </c>
      <c r="F41" s="400">
        <f ca="1">E41+1</f>
        <v>1.2027777777777777</v>
      </c>
      <c r="G41" s="400">
        <f ca="1">F41+1</f>
        <v>2.2027777777777775</v>
      </c>
      <c r="H41" s="400">
        <f ca="1">G41+1</f>
        <v>3.2027777777777775</v>
      </c>
      <c r="I41" s="400">
        <f ca="1">H41+1</f>
        <v>4.2027777777777775</v>
      </c>
    </row>
    <row r="42" spans="1:13" ht="12.75">
      <c r="A42" s="38"/>
      <c r="B42" s="39"/>
      <c r="C42" s="38"/>
      <c r="D42" s="68"/>
      <c r="E42" s="68"/>
      <c r="F42" s="68"/>
      <c r="G42" s="68"/>
      <c r="H42" s="68"/>
      <c r="I42" s="68"/>
    </row>
    <row r="43" spans="1:13" ht="12.75">
      <c r="A43" s="38"/>
      <c r="B43" s="69" t="s">
        <v>246</v>
      </c>
      <c r="C43" s="61"/>
      <c r="D43" s="70"/>
      <c r="E43" s="70">
        <f t="shared" ref="E43:I43" ca="1" si="5">E39/E40</f>
        <v>-184970.76600374767</v>
      </c>
      <c r="F43" s="70">
        <f t="shared" ca="1" si="5"/>
        <v>-74149.701605367489</v>
      </c>
      <c r="G43" s="70">
        <f t="shared" ca="1" si="5"/>
        <v>-35075.402816473019</v>
      </c>
      <c r="H43" s="70">
        <f t="shared" ca="1" si="5"/>
        <v>94581.338304076111</v>
      </c>
      <c r="I43" s="70">
        <f t="shared" ca="1" si="5"/>
        <v>204156.30515430291</v>
      </c>
    </row>
    <row r="44" spans="1:13" ht="14.45">
      <c r="A44" s="38"/>
      <c r="B44" s="39"/>
      <c r="C44" s="38"/>
      <c r="D44" s="41"/>
      <c r="E44" s="71"/>
      <c r="F44" s="71"/>
      <c r="G44" s="71"/>
      <c r="H44" s="71"/>
      <c r="I44" s="72" t="s">
        <v>247</v>
      </c>
    </row>
    <row r="45" spans="1:13" ht="12.75">
      <c r="A45" s="41"/>
      <c r="B45" s="174" t="s">
        <v>248</v>
      </c>
      <c r="C45" s="175" t="s">
        <v>249</v>
      </c>
      <c r="D45" s="176" t="s">
        <v>250</v>
      </c>
      <c r="G45" s="41"/>
      <c r="H45" s="41"/>
      <c r="I45" s="41"/>
    </row>
    <row r="46" spans="1:13" ht="12.75">
      <c r="A46" s="41"/>
      <c r="B46" s="73" t="s">
        <v>264</v>
      </c>
      <c r="C46" s="477">
        <v>0.05</v>
      </c>
      <c r="D46" s="74"/>
      <c r="G46" s="41"/>
      <c r="H46" s="41"/>
      <c r="I46" s="41"/>
    </row>
    <row r="47" spans="1:13" ht="12.75">
      <c r="A47" s="41"/>
      <c r="B47" s="73" t="s">
        <v>265</v>
      </c>
      <c r="C47" s="480">
        <v>5</v>
      </c>
      <c r="D47" s="74"/>
      <c r="G47" s="41"/>
      <c r="H47" s="41"/>
      <c r="I47" s="41"/>
    </row>
    <row r="48" spans="1:13" ht="12.75">
      <c r="A48" s="41"/>
      <c r="B48" s="73" t="s">
        <v>266</v>
      </c>
      <c r="C48" s="478">
        <f>IFERROR(C47/2,0)</f>
        <v>2.5</v>
      </c>
      <c r="D48" s="74"/>
      <c r="G48" s="41"/>
      <c r="H48" s="41"/>
      <c r="I48" s="41"/>
    </row>
    <row r="49" spans="1:12" ht="12.75">
      <c r="A49" s="41"/>
      <c r="B49" s="73" t="s">
        <v>73</v>
      </c>
      <c r="C49" s="297">
        <f>Terminal_Rate</f>
        <v>0.02</v>
      </c>
      <c r="D49" s="74"/>
      <c r="G49" s="41"/>
      <c r="H49" s="41"/>
      <c r="I49" s="41"/>
    </row>
    <row r="50" spans="1:12" ht="13.9">
      <c r="A50" s="41"/>
      <c r="B50" s="73" t="s">
        <v>253</v>
      </c>
      <c r="C50" s="510">
        <f ca="1">DCF!K49</f>
        <v>36032171.51425764</v>
      </c>
      <c r="D50" s="185">
        <f ca="1">C50/Shares_Out</f>
        <v>269.11771987644812</v>
      </c>
      <c r="E50" s="162"/>
      <c r="F50" s="41"/>
      <c r="G50" s="41"/>
      <c r="H50" s="41"/>
      <c r="I50" s="41"/>
      <c r="L50" s="392"/>
    </row>
    <row r="51" spans="1:12" ht="13.9">
      <c r="A51" s="41"/>
      <c r="B51" s="73" t="s">
        <v>255</v>
      </c>
      <c r="C51" s="169">
        <f ca="1">C50/I$40</f>
        <v>18347367.960299108</v>
      </c>
      <c r="D51" s="185">
        <f ca="1">C51/Shares_Out</f>
        <v>137.03314631637247</v>
      </c>
      <c r="E51" s="41"/>
      <c r="F51" s="41"/>
      <c r="G51" s="41"/>
      <c r="H51" s="41"/>
      <c r="I51" s="41"/>
    </row>
    <row r="52" spans="1:12" ht="13.9">
      <c r="A52" s="41"/>
      <c r="B52" s="73" t="s">
        <v>257</v>
      </c>
      <c r="C52" s="169">
        <f ca="1">SUM(D$43:I$43)</f>
        <v>4541.7730327908066</v>
      </c>
      <c r="D52" s="185">
        <f ca="1">C52/Shares_Out</f>
        <v>3.3921674753833793E-2</v>
      </c>
      <c r="E52" s="41"/>
      <c r="F52" s="41"/>
      <c r="G52" s="41"/>
      <c r="H52" s="41"/>
      <c r="I52" s="41"/>
    </row>
    <row r="53" spans="1:12" ht="13.9">
      <c r="A53" s="41"/>
      <c r="B53" s="75" t="s">
        <v>259</v>
      </c>
      <c r="C53" s="170">
        <f ca="1">C51+C52</f>
        <v>18351909.7333319</v>
      </c>
      <c r="D53" s="186">
        <f ca="1">D51+D52</f>
        <v>137.06706799112629</v>
      </c>
      <c r="E53" s="162"/>
      <c r="F53" s="162"/>
      <c r="G53" s="41"/>
      <c r="H53" s="41"/>
      <c r="I53" s="41"/>
    </row>
    <row r="54" spans="1:12" ht="13.9">
      <c r="A54" s="41"/>
      <c r="B54" s="106" t="s">
        <v>260</v>
      </c>
      <c r="C54" s="171">
        <f ca="1" xml:space="preserve"> SUMIF(BS_Start:BS_End,"NOA",OFFSET(BS_Start,0,MATCH($D$31,Financials!$6:$6,0)-COLUMN(BS_Start))) -
   SUMIF(BS_Start:BS_End,"NOL",OFFSET(BS_Start,0,MATCH($D$31,Financials!$6:$6,0)-COLUMN(BS_Start)))</f>
        <v>43425</v>
      </c>
      <c r="D54" s="187">
        <f ca="1">C54/Shares_Out</f>
        <v>0.32433340802151017</v>
      </c>
      <c r="E54" s="41"/>
      <c r="F54" s="41"/>
      <c r="G54" s="41"/>
      <c r="H54" s="41"/>
      <c r="I54" s="41"/>
    </row>
    <row r="55" spans="1:12" ht="13.9">
      <c r="A55" s="41"/>
      <c r="B55" s="165" t="s">
        <v>220</v>
      </c>
      <c r="C55" s="172">
        <f ca="1">C53+C54</f>
        <v>18395334.7333319</v>
      </c>
      <c r="D55" s="188">
        <f ca="1">D53+D54</f>
        <v>137.39140139914781</v>
      </c>
      <c r="E55" s="41"/>
      <c r="F55" s="41"/>
      <c r="G55" s="41"/>
      <c r="H55" s="41"/>
      <c r="I55" s="41"/>
    </row>
    <row r="56" spans="1:12" ht="14.45" thickBot="1">
      <c r="A56" s="41"/>
      <c r="B56" s="164" t="s">
        <v>261</v>
      </c>
      <c r="C56" s="171">
        <f ca="1" xml:space="preserve"> SUMIF(BS_Start:BS_End,"Cash",OFFSET(BS_Start,0,MATCH($D$31,Financials!$6:$6,0)-COLUMN(BS_Start))) -
   SUMIF(BS_Start:BS_End,"FC",OFFSET(BS_Start,0,MATCH($D$31,Financials!$6:$6,0)-COLUMN(BS_Start)))</f>
        <v>441556</v>
      </c>
      <c r="D56" s="185">
        <f ca="1">C56/Shares_Out</f>
        <v>3.2979012622301891</v>
      </c>
      <c r="E56" s="41"/>
      <c r="F56" s="41"/>
      <c r="G56" s="41"/>
      <c r="H56" s="41"/>
      <c r="I56" s="41"/>
    </row>
    <row r="57" spans="1:12" ht="15" thickTop="1" thickBot="1">
      <c r="A57" s="41"/>
      <c r="B57" s="105" t="s">
        <v>262</v>
      </c>
      <c r="C57" s="173">
        <f ca="1">C55+C56</f>
        <v>18836890.7333319</v>
      </c>
      <c r="D57" s="189">
        <f ca="1">C57/Shares_Out</f>
        <v>140.68930266137801</v>
      </c>
      <c r="E57" s="41"/>
      <c r="F57" s="41"/>
      <c r="G57" s="41"/>
      <c r="H57" s="41"/>
      <c r="I57" s="41"/>
    </row>
    <row r="58" spans="1:12" ht="13.9" thickTop="1"/>
    <row r="59" spans="1:12">
      <c r="C59" s="290" t="s">
        <v>263</v>
      </c>
      <c r="D59" s="291"/>
      <c r="E59" s="291"/>
      <c r="F59" s="291"/>
      <c r="G59" s="292"/>
    </row>
    <row r="60" spans="1:12">
      <c r="B60" s="324">
        <f ca="1">$D$57</f>
        <v>140.68930266137801</v>
      </c>
      <c r="C60" s="298">
        <v>0.01</v>
      </c>
      <c r="D60" s="298">
        <f>C60+0.5%</f>
        <v>1.4999999999999999E-2</v>
      </c>
      <c r="E60" s="299">
        <f>Terminal_Rate</f>
        <v>0.02</v>
      </c>
      <c r="F60" s="298">
        <f>E60+0.5%</f>
        <v>2.5000000000000001E-2</v>
      </c>
      <c r="G60" s="298">
        <f>F60+0.5%</f>
        <v>3.0000000000000002E-2</v>
      </c>
      <c r="H60" s="293" t="s">
        <v>73</v>
      </c>
    </row>
    <row r="61" spans="1:12">
      <c r="B61" s="322">
        <f ca="1">B62-1%</f>
        <v>0.144204</v>
      </c>
      <c r="C61" s="300">
        <f t="dataTable" ref="C61:G67" dt2D="1" dtr="1" r1="C49" r2="D27" ca="1"/>
        <v>10.440144716965033</v>
      </c>
      <c r="D61" s="301">
        <v>10.660640691676679</v>
      </c>
      <c r="E61" s="302">
        <v>10.89888939373299</v>
      </c>
      <c r="F61" s="301">
        <v>11.157124732316285</v>
      </c>
      <c r="G61" s="303">
        <v>11.437971830433691</v>
      </c>
    </row>
    <row r="62" spans="1:12">
      <c r="B62" s="322">
        <f ca="1">B63-1%</f>
        <v>0.15420400000000001</v>
      </c>
      <c r="C62" s="304">
        <v>9.6803954612453236</v>
      </c>
      <c r="D62" s="305">
        <v>9.8609843282971479</v>
      </c>
      <c r="E62" s="306">
        <v>10.055029490768767</v>
      </c>
      <c r="F62" s="305">
        <v>10.264093163694522</v>
      </c>
      <c r="G62" s="307">
        <v>10.489989118424869</v>
      </c>
    </row>
    <row r="63" spans="1:12">
      <c r="B63" s="322">
        <f ca="1">B64-1%</f>
        <v>0.16420400000000002</v>
      </c>
      <c r="C63" s="304">
        <v>9.0250472995357516</v>
      </c>
      <c r="D63" s="308">
        <v>9.1744424651301806</v>
      </c>
      <c r="E63" s="309">
        <v>9.3341976183528619</v>
      </c>
      <c r="F63" s="310">
        <v>9.5054291051020723</v>
      </c>
      <c r="G63" s="307">
        <v>9.6894196367939962</v>
      </c>
    </row>
    <row r="64" spans="1:12">
      <c r="B64" s="323">
        <f ca="1">WACC</f>
        <v>0.17420400000000003</v>
      </c>
      <c r="C64" s="311">
        <v>8.4548215277862635</v>
      </c>
      <c r="D64" s="312">
        <v>8.5794954953961682</v>
      </c>
      <c r="E64" s="330">
        <v>8.7122544651856462</v>
      </c>
      <c r="F64" s="313">
        <v>8.8539112507032218</v>
      </c>
      <c r="G64" s="314">
        <v>9.0053913965656935</v>
      </c>
    </row>
    <row r="65" spans="2:7">
      <c r="B65" s="322">
        <f t="shared" ref="B65:B67" ca="1" si="6">B64+1%</f>
        <v>0.18420400000000003</v>
      </c>
      <c r="C65" s="304">
        <v>7.9548751334301286</v>
      </c>
      <c r="D65" s="315">
        <v>8.0597199686548251</v>
      </c>
      <c r="E65" s="316">
        <v>8.1709498392760196</v>
      </c>
      <c r="F65" s="317">
        <v>8.2891663352722826</v>
      </c>
      <c r="G65" s="307">
        <v>8.4150490718327511</v>
      </c>
    </row>
    <row r="66" spans="2:7">
      <c r="B66" s="322">
        <f t="shared" ca="1" si="6"/>
        <v>0.19420400000000004</v>
      </c>
      <c r="C66" s="304">
        <v>7.5135963063904372</v>
      </c>
      <c r="D66" s="305">
        <v>7.6023662406694834</v>
      </c>
      <c r="E66" s="306">
        <v>7.6962319209864543</v>
      </c>
      <c r="F66" s="305">
        <v>7.7956450871971956</v>
      </c>
      <c r="G66" s="307">
        <v>7.9011125009421486</v>
      </c>
    </row>
    <row r="67" spans="2:7">
      <c r="B67" s="322">
        <f t="shared" ca="1" si="6"/>
        <v>0.20420400000000005</v>
      </c>
      <c r="C67" s="318">
        <v>7.121772109996348</v>
      </c>
      <c r="D67" s="319">
        <v>7.1973872041469082</v>
      </c>
      <c r="E67" s="320">
        <v>7.2771072631272524</v>
      </c>
      <c r="F67" s="319">
        <v>7.3612758868148784</v>
      </c>
      <c r="G67" s="321">
        <v>7.4502761230767058</v>
      </c>
    </row>
    <row r="68" spans="2:7">
      <c r="B68" s="325" t="s">
        <v>68</v>
      </c>
    </row>
  </sheetData>
  <pageMargins left="0.7" right="0.7" top="0.75" bottom="0.75" header="0.3" footer="0.3"/>
  <pageSetup scale="80"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600FD-228D-41F3-8790-5D73B4B74B78}">
  <sheetPr>
    <tabColor theme="9"/>
    <pageSetUpPr fitToPage="1"/>
  </sheetPr>
  <dimension ref="A1:U37"/>
  <sheetViews>
    <sheetView showGridLines="0" workbookViewId="0">
      <pane xSplit="3" ySplit="5" topLeftCell="D17" activePane="bottomRight" state="frozen"/>
      <selection pane="bottomRight" activeCell="D30" sqref="D30"/>
      <selection pane="bottomLeft" activeCell="A6" sqref="A6"/>
      <selection pane="topRight" activeCell="C1" sqref="C1"/>
    </sheetView>
  </sheetViews>
  <sheetFormatPr defaultColWidth="8.85546875" defaultRowHeight="15" customHeight="1"/>
  <cols>
    <col min="1" max="1" width="18.42578125" customWidth="1"/>
    <col min="2" max="2" width="8.140625" customWidth="1"/>
    <col min="3" max="3" width="1.140625" customWidth="1"/>
    <col min="4" max="5" width="11.42578125" customWidth="1"/>
    <col min="6" max="6" width="1.140625" customWidth="1"/>
    <col min="7" max="8" width="11.42578125" customWidth="1"/>
    <col min="9" max="9" width="1.140625" customWidth="1"/>
    <col min="10" max="11" width="11.42578125" customWidth="1"/>
    <col min="12" max="12" width="1.140625" customWidth="1"/>
    <col min="13" max="14" width="11.42578125" customWidth="1"/>
    <col min="15" max="15" width="1.140625" customWidth="1"/>
    <col min="16" max="16" width="1.42578125" customWidth="1"/>
    <col min="17" max="18" width="11.42578125" customWidth="1"/>
  </cols>
  <sheetData>
    <row r="1" spans="1:18" ht="26.1" customHeight="1">
      <c r="A1" s="204" t="s">
        <v>267</v>
      </c>
      <c r="B1" s="205"/>
      <c r="C1" s="205"/>
      <c r="D1" s="205"/>
      <c r="E1" s="205"/>
      <c r="F1" s="205"/>
      <c r="G1" s="205"/>
      <c r="H1" s="205"/>
      <c r="I1" s="205"/>
      <c r="J1" s="205"/>
      <c r="K1" s="205"/>
      <c r="L1" s="205"/>
      <c r="M1" s="205"/>
      <c r="N1" s="205"/>
      <c r="O1" s="205"/>
      <c r="P1" s="205"/>
      <c r="Q1" s="205"/>
      <c r="R1" s="205"/>
    </row>
    <row r="2" spans="1:18" ht="8.1" customHeight="1">
      <c r="A2" s="209"/>
      <c r="B2" s="207"/>
      <c r="C2" s="208"/>
      <c r="D2" s="210"/>
      <c r="E2" s="210"/>
      <c r="F2" s="208"/>
      <c r="G2" s="210"/>
      <c r="H2" s="210"/>
      <c r="I2" s="208"/>
      <c r="J2" s="210"/>
      <c r="K2" s="210"/>
      <c r="L2" s="208"/>
      <c r="M2" s="210"/>
      <c r="N2" s="210"/>
      <c r="O2" s="208"/>
      <c r="P2" s="208"/>
      <c r="Q2" s="210"/>
      <c r="R2" s="210"/>
    </row>
    <row r="3" spans="1:18" ht="14.45">
      <c r="A3" s="250" t="s">
        <v>268</v>
      </c>
      <c r="B3" s="251"/>
      <c r="C3" s="249"/>
      <c r="D3" s="533" t="str">
        <f>Comp_Name</f>
        <v>Nu Scale</v>
      </c>
      <c r="E3" s="533"/>
      <c r="F3" s="249"/>
      <c r="G3" s="534" t="s">
        <v>269</v>
      </c>
      <c r="H3" s="534"/>
      <c r="I3" s="249"/>
      <c r="J3" s="534" t="s">
        <v>270</v>
      </c>
      <c r="K3" s="534"/>
      <c r="L3" s="249"/>
      <c r="M3" s="534" t="s">
        <v>271</v>
      </c>
      <c r="N3" s="534"/>
      <c r="O3" s="249"/>
      <c r="P3" s="249"/>
      <c r="Q3" s="536" t="s">
        <v>272</v>
      </c>
      <c r="R3" s="536"/>
    </row>
    <row r="4" spans="1:18" ht="8.1" customHeight="1">
      <c r="A4" s="209"/>
      <c r="B4" s="207"/>
      <c r="C4" s="208"/>
      <c r="D4" s="210"/>
      <c r="E4" s="210"/>
      <c r="F4" s="208"/>
      <c r="G4" s="210"/>
      <c r="H4" s="210"/>
      <c r="I4" s="208"/>
      <c r="J4" s="210"/>
      <c r="K4" s="210"/>
      <c r="L4" s="208"/>
      <c r="M4" s="210"/>
      <c r="N4" s="210"/>
      <c r="O4" s="208"/>
      <c r="P4" s="208"/>
      <c r="Q4" s="210"/>
      <c r="R4" s="210"/>
    </row>
    <row r="5" spans="1:18" ht="14.45">
      <c r="A5" s="246"/>
      <c r="B5" s="247" t="s">
        <v>273</v>
      </c>
      <c r="C5" s="248"/>
      <c r="D5" s="247" t="s">
        <v>35</v>
      </c>
      <c r="E5" s="247" t="s">
        <v>37</v>
      </c>
      <c r="F5" s="248"/>
      <c r="G5" s="247" t="s">
        <v>35</v>
      </c>
      <c r="H5" s="247" t="s">
        <v>37</v>
      </c>
      <c r="I5" s="248"/>
      <c r="J5" s="247" t="s">
        <v>35</v>
      </c>
      <c r="K5" s="247" t="s">
        <v>37</v>
      </c>
      <c r="L5" s="248"/>
      <c r="M5" s="247" t="s">
        <v>35</v>
      </c>
      <c r="N5" s="247" t="s">
        <v>37</v>
      </c>
      <c r="O5" s="248"/>
      <c r="P5" s="248"/>
      <c r="Q5" s="247" t="s">
        <v>35</v>
      </c>
      <c r="R5" s="247" t="s">
        <v>37</v>
      </c>
    </row>
    <row r="6" spans="1:18" ht="8.1" customHeight="1">
      <c r="A6" s="209"/>
      <c r="B6" s="207"/>
      <c r="C6" s="208"/>
      <c r="D6" s="210"/>
      <c r="E6" s="210"/>
      <c r="F6" s="208"/>
      <c r="G6" s="210"/>
      <c r="H6" s="210"/>
      <c r="I6" s="208"/>
      <c r="J6" s="210"/>
      <c r="K6" s="210"/>
      <c r="L6" s="208"/>
      <c r="M6" s="210"/>
      <c r="N6" s="210"/>
      <c r="O6" s="208"/>
      <c r="P6" s="208"/>
      <c r="Q6" s="210"/>
      <c r="R6" s="210"/>
    </row>
    <row r="7" spans="1:18" ht="14.45">
      <c r="A7" s="530" t="s">
        <v>274</v>
      </c>
      <c r="B7" s="441" cm="1">
        <f t="array" aca="1" ref="B7" ca="1">INDEX(Annual_Periods,1)</f>
        <v>44560</v>
      </c>
      <c r="C7" s="226"/>
      <c r="D7" s="227">
        <v>8.56</v>
      </c>
      <c r="E7" s="227">
        <v>11.72</v>
      </c>
      <c r="F7" s="228"/>
      <c r="G7" s="227">
        <v>153.3015</v>
      </c>
      <c r="H7" s="227">
        <v>838.81</v>
      </c>
      <c r="I7" s="228"/>
      <c r="J7" s="227">
        <v>7.52</v>
      </c>
      <c r="K7" s="227">
        <v>30.44</v>
      </c>
      <c r="L7" s="228"/>
      <c r="M7" s="227">
        <v>5.82</v>
      </c>
      <c r="N7" s="227">
        <v>20.78</v>
      </c>
      <c r="O7" s="157"/>
      <c r="P7" s="157"/>
      <c r="Q7" s="211">
        <f>AVERAGE(D7, G7, J7, M7)</f>
        <v>43.800375000000003</v>
      </c>
      <c r="R7" s="211">
        <f>AVERAGE(E7, H7, K7, N7)</f>
        <v>225.4375</v>
      </c>
    </row>
    <row r="8" spans="1:18" ht="14.45">
      <c r="A8" s="531"/>
      <c r="B8" s="442">
        <f ca="1">EOMONTH(B7,12)</f>
        <v>44926</v>
      </c>
      <c r="C8" s="229"/>
      <c r="D8" s="230">
        <v>8.9600000000000009</v>
      </c>
      <c r="E8" s="230">
        <v>15.32</v>
      </c>
      <c r="F8" s="231"/>
      <c r="G8" s="230">
        <v>76.5</v>
      </c>
      <c r="H8" s="230">
        <v>208.2021</v>
      </c>
      <c r="I8" s="231"/>
      <c r="J8" s="230">
        <v>0.97</v>
      </c>
      <c r="K8" s="230">
        <v>7.6</v>
      </c>
      <c r="L8" s="231"/>
      <c r="M8" s="230">
        <v>2.19</v>
      </c>
      <c r="N8" s="230">
        <v>6.28</v>
      </c>
      <c r="O8" s="157"/>
      <c r="P8" s="157"/>
      <c r="Q8" s="211">
        <f t="shared" ref="Q8:Q10" si="0">AVERAGE(D8, G8, J8, M8)</f>
        <v>22.155000000000001</v>
      </c>
      <c r="R8" s="211">
        <f t="shared" ref="R8:R10" si="1">AVERAGE(E8, H8, K8, N8)</f>
        <v>59.350524999999998</v>
      </c>
    </row>
    <row r="9" spans="1:18" ht="14.45">
      <c r="A9" s="531"/>
      <c r="B9" s="442">
        <f ca="1">EOMONTH(B8,12)</f>
        <v>45291</v>
      </c>
      <c r="C9" s="229"/>
      <c r="D9" s="230">
        <v>2.08</v>
      </c>
      <c r="E9" s="230">
        <v>11.06</v>
      </c>
      <c r="F9" s="231"/>
      <c r="G9" s="230">
        <v>30.900300000000001</v>
      </c>
      <c r="H9" s="230">
        <v>127.5013</v>
      </c>
      <c r="I9" s="231"/>
      <c r="J9" s="230">
        <v>1.02</v>
      </c>
      <c r="K9" s="230">
        <v>5.03</v>
      </c>
      <c r="L9" s="231"/>
      <c r="M9" s="230">
        <v>0.54100000000000004</v>
      </c>
      <c r="N9" s="230">
        <v>3.74</v>
      </c>
      <c r="O9" s="157"/>
      <c r="P9" s="157"/>
      <c r="Q9" s="211">
        <f t="shared" si="0"/>
        <v>8.6353249999999999</v>
      </c>
      <c r="R9" s="211">
        <f t="shared" si="1"/>
        <v>36.832825</v>
      </c>
    </row>
    <row r="10" spans="1:18" ht="14.45">
      <c r="A10" s="532"/>
      <c r="B10" s="443">
        <f ca="1">EOMONTH(B9,12)</f>
        <v>45657</v>
      </c>
      <c r="C10" s="232"/>
      <c r="D10" s="233">
        <v>1.92</v>
      </c>
      <c r="E10" s="233">
        <v>30.21</v>
      </c>
      <c r="F10" s="234"/>
      <c r="G10" s="233">
        <v>5.7</v>
      </c>
      <c r="H10" s="233">
        <v>46.2</v>
      </c>
      <c r="I10" s="234"/>
      <c r="J10" s="233">
        <v>0.64470000000000005</v>
      </c>
      <c r="K10" s="233">
        <v>5.17</v>
      </c>
      <c r="L10" s="234"/>
      <c r="M10" s="233">
        <v>0.81369999999999998</v>
      </c>
      <c r="N10" s="233">
        <v>3.84</v>
      </c>
      <c r="O10" s="157"/>
      <c r="P10" s="157"/>
      <c r="Q10" s="211">
        <f t="shared" si="0"/>
        <v>2.2696000000000001</v>
      </c>
      <c r="R10" s="211">
        <f t="shared" si="1"/>
        <v>21.355</v>
      </c>
    </row>
    <row r="11" spans="1:18" ht="8.1" customHeight="1">
      <c r="A11" s="209"/>
      <c r="B11" s="444"/>
      <c r="C11" s="208"/>
      <c r="D11" s="210"/>
      <c r="E11" s="210"/>
      <c r="F11" s="208"/>
      <c r="G11" s="210"/>
      <c r="H11" s="210"/>
      <c r="I11" s="208"/>
      <c r="J11" s="210"/>
      <c r="K11" s="210"/>
      <c r="L11" s="208"/>
      <c r="M11" s="210"/>
      <c r="N11" s="210"/>
      <c r="O11" s="208"/>
      <c r="P11" s="208"/>
      <c r="Q11" s="211"/>
      <c r="R11" s="211"/>
    </row>
    <row r="12" spans="1:18" ht="14.45">
      <c r="A12" s="526" t="s">
        <v>275</v>
      </c>
      <c r="B12" s="441">
        <f ca="1">B7</f>
        <v>44560</v>
      </c>
      <c r="C12" s="226"/>
      <c r="D12" s="535">
        <v>0.1</v>
      </c>
      <c r="E12" s="535"/>
      <c r="F12" s="226"/>
      <c r="G12" s="535">
        <v>6.24</v>
      </c>
      <c r="H12" s="535"/>
      <c r="I12" s="226"/>
      <c r="J12" s="535">
        <v>0.09</v>
      </c>
      <c r="K12" s="535"/>
      <c r="L12" s="226"/>
      <c r="M12" s="535">
        <v>6.66</v>
      </c>
      <c r="N12" s="535"/>
      <c r="O12" s="208"/>
      <c r="P12" s="208"/>
      <c r="Q12" s="521">
        <f>AVERAGE(D12, G12, J12, M12)</f>
        <v>3.2725</v>
      </c>
      <c r="R12" s="521"/>
    </row>
    <row r="13" spans="1:18" ht="14.45" customHeight="1">
      <c r="A13" s="527"/>
      <c r="B13" s="442">
        <f ca="1">B8</f>
        <v>44926</v>
      </c>
      <c r="C13" s="229"/>
      <c r="D13" s="522">
        <v>0.23</v>
      </c>
      <c r="E13" s="522"/>
      <c r="F13" s="229"/>
      <c r="G13" s="522">
        <v>10.220000000000001</v>
      </c>
      <c r="H13" s="522"/>
      <c r="I13" s="229"/>
      <c r="J13" s="522">
        <v>0.28999999999999998</v>
      </c>
      <c r="K13" s="522"/>
      <c r="L13" s="229"/>
      <c r="M13" s="522">
        <v>11.3</v>
      </c>
      <c r="N13" s="522"/>
      <c r="O13" s="208"/>
      <c r="P13" s="208"/>
      <c r="Q13" s="521">
        <f t="shared" ref="Q13:Q15" si="2">AVERAGE(D13, G13, J13, M13)</f>
        <v>5.51</v>
      </c>
      <c r="R13" s="521"/>
    </row>
    <row r="14" spans="1:18" ht="14.45">
      <c r="A14" s="527"/>
      <c r="B14" s="442">
        <f ca="1">B9</f>
        <v>45291</v>
      </c>
      <c r="C14" s="229"/>
      <c r="D14" s="522">
        <v>0.31</v>
      </c>
      <c r="E14" s="522"/>
      <c r="F14" s="229"/>
      <c r="G14" s="522">
        <v>8.82</v>
      </c>
      <c r="H14" s="522"/>
      <c r="I14" s="229"/>
      <c r="J14" s="522">
        <v>0.13</v>
      </c>
      <c r="K14" s="522"/>
      <c r="L14" s="229"/>
      <c r="M14" s="522">
        <v>11.72</v>
      </c>
      <c r="N14" s="522"/>
      <c r="O14" s="208"/>
      <c r="P14" s="208"/>
      <c r="Q14" s="521">
        <f t="shared" si="2"/>
        <v>5.245000000000001</v>
      </c>
      <c r="R14" s="521"/>
    </row>
    <row r="15" spans="1:18" ht="14.45">
      <c r="A15" s="528"/>
      <c r="B15" s="443">
        <f ca="1">B10</f>
        <v>45657</v>
      </c>
      <c r="C15" s="232"/>
      <c r="D15" s="529">
        <v>0.4</v>
      </c>
      <c r="E15" s="529"/>
      <c r="F15" s="232"/>
      <c r="G15" s="529">
        <v>6.73</v>
      </c>
      <c r="H15" s="529"/>
      <c r="I15" s="232"/>
      <c r="J15" s="529">
        <v>7.0000000000000007E-2</v>
      </c>
      <c r="K15" s="529"/>
      <c r="L15" s="232"/>
      <c r="M15" s="529">
        <v>10.87</v>
      </c>
      <c r="N15" s="529"/>
      <c r="O15" s="208"/>
      <c r="P15" s="208"/>
      <c r="Q15" s="521">
        <f t="shared" si="2"/>
        <v>4.5175000000000001</v>
      </c>
      <c r="R15" s="521"/>
    </row>
    <row r="16" spans="1:18" ht="8.1" customHeight="1">
      <c r="A16" s="209"/>
      <c r="B16" s="444"/>
      <c r="C16" s="208"/>
      <c r="D16" s="210"/>
      <c r="E16" s="210"/>
      <c r="F16" s="208"/>
      <c r="G16" s="210"/>
      <c r="H16" s="210"/>
      <c r="I16" s="208"/>
      <c r="J16" s="210"/>
      <c r="K16" s="210"/>
      <c r="L16" s="208"/>
      <c r="M16" s="210"/>
      <c r="N16" s="210"/>
      <c r="O16" s="208"/>
      <c r="P16" s="208"/>
      <c r="Q16" s="210"/>
      <c r="R16" s="210"/>
    </row>
    <row r="17" spans="1:21" ht="14.45">
      <c r="A17" s="523" t="s">
        <v>276</v>
      </c>
      <c r="B17" s="441">
        <f ca="1">B7</f>
        <v>44560</v>
      </c>
      <c r="C17" s="226"/>
      <c r="D17" s="235">
        <f ca="1">IFERROR(IF(INDEX(D$7:D$10,MATCH($B17,$B$7:$B$10,0))/INDEX(D$12:D$15,MATCH($B17,$B$12:$B$15,0))&lt;0,"NM",INDEX(D$7:D$10,MATCH($B17,$B$7:$B$10,0))/INDEX(D$12:D$15,MATCH($B17,$B$12:$B$15,0))),"NA")</f>
        <v>85.6</v>
      </c>
      <c r="E17" s="235">
        <f ca="1">IFERROR(IF(INDEX(E$7:E$10,MATCH($B17,$B$7:$B$10,0))/INDEX(D$12:D$15,MATCH($B17,$B$12:$B$15,0))&lt;0,"NM",INDEX(E$7:E$10,MATCH($B17,$B$7:$B$10,0))/INDEX(D$12:D$15,MATCH($B17,$B$12:$B$15,0))),"NA")</f>
        <v>117.2</v>
      </c>
      <c r="F17" s="236"/>
      <c r="G17" s="235">
        <f ca="1">IFERROR(IF(INDEX(G$7:G$10,MATCH($B17,$B$7:$B$10,0))/INDEX(G$12:G$15,MATCH($B17,$B$12:$B$15,0))&lt;0,"NM",INDEX(G$7:G$10,MATCH($B17,$B$7:$B$10,0))/INDEX(G$12:G$15,MATCH($B17,$B$12:$B$15,0))),"NA")</f>
        <v>24.567548076923078</v>
      </c>
      <c r="H17" s="235">
        <f ca="1">IFERROR(IF(INDEX(H$7:H$10,MATCH($B17,$B$7:$B$10,0))/INDEX(G$12:G$15,MATCH($B17,$B$12:$B$15,0))&lt;0,"NM",INDEX(H$7:H$10,MATCH($B17,$B$7:$B$10,0))/INDEX(G$12:G$15,MATCH($B17,$B$12:$B$15,0))),"NA")</f>
        <v>134.42467948717947</v>
      </c>
      <c r="I17" s="236"/>
      <c r="J17" s="235">
        <f t="shared" ref="J17:J20" ca="1" si="3">IFERROR(IF(INDEX(J$7:J$10,MATCH($B17,$B$7:$B$10,0))/INDEX(J$12:J$15,MATCH($B17,$B$12:$B$15,0))&lt;0,"NM",INDEX(J$7:J$10,MATCH($B17,$B$7:$B$10,0))/INDEX(J$12:J$15,MATCH($B17,$B$12:$B$15,0))),"NA")</f>
        <v>83.555555555555557</v>
      </c>
      <c r="K17" s="235">
        <f t="shared" ref="K17:K20" ca="1" si="4">IFERROR(IF(INDEX(K$7:K$10,MATCH($B17,$B$7:$B$10,0))/INDEX(J$12:J$15,MATCH($B17,$B$12:$B$15,0))&lt;0,"NM",INDEX(K$7:K$10,MATCH($B17,$B$7:$B$10,0))/INDEX(J$12:J$15,MATCH($B17,$B$12:$B$15,0))),"NA")</f>
        <v>338.22222222222223</v>
      </c>
      <c r="L17" s="236"/>
      <c r="M17" s="235">
        <f t="shared" ref="M17:M20" ca="1" si="5">IFERROR(IF(INDEX(M$7:M$10,MATCH($B17,$B$7:$B$10,0))/INDEX(M$12:M$15,MATCH($B17,$B$12:$B$15,0))&lt;0,"NM",INDEX(M$7:M$10,MATCH($B17,$B$7:$B$10,0))/INDEX(M$12:M$15,MATCH($B17,$B$12:$B$15,0))),"NA")</f>
        <v>0.87387387387387394</v>
      </c>
      <c r="N17" s="235">
        <f t="shared" ref="N17:N20" ca="1" si="6">IFERROR(IF(INDEX(N$7:N$10,MATCH($B17,$B$7:$B$10,0))/INDEX(M$12:M$15,MATCH($B17,$B$12:$B$15,0))&lt;0,"NM",INDEX(N$7:N$10,MATCH($B17,$B$7:$B$10,0))/INDEX(M$12:M$15,MATCH($B17,$B$12:$B$15,0))),"NA")</f>
        <v>3.1201201201201201</v>
      </c>
      <c r="O17" s="236"/>
      <c r="P17" s="486"/>
      <c r="Q17" s="242">
        <f ca="1">IFERROR(AVERAGE(G17,J17,M17),"NA")</f>
        <v>36.332325835450838</v>
      </c>
      <c r="R17" s="243">
        <f ca="1">IFERROR(AVERAGE(H17,K17,N17),"NA")</f>
        <v>158.58900727650729</v>
      </c>
      <c r="T17" s="242">
        <f ca="1">IFERROR(AVERAGE(J17,M17,Q17),"NA")</f>
        <v>40.253918421626757</v>
      </c>
      <c r="U17" s="243">
        <f ca="1">IFERROR(AVERAGE(K17,N17,R17),"NA")</f>
        <v>166.64378320628322</v>
      </c>
    </row>
    <row r="18" spans="1:21" ht="14.45">
      <c r="A18" s="524"/>
      <c r="B18" s="442">
        <f ca="1">B8</f>
        <v>44926</v>
      </c>
      <c r="C18" s="229"/>
      <c r="D18" s="237">
        <f t="shared" ref="D18:D20" ca="1" si="7">IFERROR(IF(INDEX(D$7:D$10,MATCH($B18,$B$7:$B$10,0))/INDEX(D$12:D$15,MATCH($B18,$B$12:$B$15,0))&lt;0,"NM",INDEX(D$7:D$10,MATCH($B18,$B$7:$B$10,0))/INDEX(D$12:D$15,MATCH($B18,$B$12:$B$15,0))),"NA")</f>
        <v>38.956521739130437</v>
      </c>
      <c r="E18" s="237">
        <f t="shared" ref="E18:E20" ca="1" si="8">IFERROR(IF(INDEX(E$7:E$10,MATCH($B18,$B$7:$B$10,0))/INDEX(D$12:D$15,MATCH($B18,$B$12:$B$15,0))&lt;0,"NM",INDEX(E$7:E$10,MATCH($B18,$B$7:$B$10,0))/INDEX(D$12:D$15,MATCH($B18,$B$12:$B$15,0))),"NA")</f>
        <v>66.608695652173907</v>
      </c>
      <c r="F18" s="238"/>
      <c r="G18" s="237">
        <f t="shared" ref="G18:G20" ca="1" si="9">IFERROR(IF(INDEX(G$7:G$10,MATCH($B18,$B$7:$B$10,0))/INDEX(G$12:G$15,MATCH($B18,$B$12:$B$15,0))&lt;0,"NM",INDEX(G$7:G$10,MATCH($B18,$B$7:$B$10,0))/INDEX(G$12:G$15,MATCH($B18,$B$12:$B$15,0))),"NA")</f>
        <v>7.4853228962817999</v>
      </c>
      <c r="H18" s="237">
        <f t="shared" ref="H18:H20" ca="1" si="10">IFERROR(IF(INDEX(H$7:H$10,MATCH($B18,$B$7:$B$10,0))/INDEX(G$12:G$15,MATCH($B18,$B$12:$B$15,0))&lt;0,"NM",INDEX(H$7:H$10,MATCH($B18,$B$7:$B$10,0))/INDEX(G$12:G$15,MATCH($B18,$B$12:$B$15,0))),"NA")</f>
        <v>20.372025440313109</v>
      </c>
      <c r="I18" s="238"/>
      <c r="J18" s="237">
        <f t="shared" ca="1" si="3"/>
        <v>3.3448275862068968</v>
      </c>
      <c r="K18" s="237">
        <f t="shared" ca="1" si="4"/>
        <v>26.206896551724139</v>
      </c>
      <c r="L18" s="238"/>
      <c r="M18" s="237">
        <f t="shared" ca="1" si="5"/>
        <v>0.19380530973451326</v>
      </c>
      <c r="N18" s="237">
        <f t="shared" ca="1" si="6"/>
        <v>0.55575221238938055</v>
      </c>
      <c r="O18" s="238"/>
      <c r="P18" s="486"/>
      <c r="Q18" s="242">
        <f t="shared" ref="Q18:Q20" ca="1" si="11">IFERROR(AVERAGE(G18,J18,M18),"NA")</f>
        <v>3.6746519307410703</v>
      </c>
      <c r="R18" s="243">
        <f t="shared" ref="R18:R20" ca="1" si="12">IFERROR(AVERAGE(H18,K18,N18),"NA")</f>
        <v>15.71155806814221</v>
      </c>
      <c r="T18" s="242">
        <f t="shared" ref="T18:T20" ca="1" si="13">IFERROR(AVERAGE(J18,M18,Q18),"NA")</f>
        <v>2.4044282755608268</v>
      </c>
      <c r="U18" s="243">
        <f t="shared" ref="U18:U20" ca="1" si="14">IFERROR(AVERAGE(K18,N18,R18),"NA")</f>
        <v>14.158068944085244</v>
      </c>
    </row>
    <row r="19" spans="1:21" ht="14.45">
      <c r="A19" s="524"/>
      <c r="B19" s="442">
        <f ca="1">B9</f>
        <v>45291</v>
      </c>
      <c r="C19" s="229"/>
      <c r="D19" s="237">
        <f t="shared" ca="1" si="7"/>
        <v>6.709677419354839</v>
      </c>
      <c r="E19" s="237">
        <f t="shared" ca="1" si="8"/>
        <v>35.677419354838712</v>
      </c>
      <c r="F19" s="238"/>
      <c r="G19" s="237">
        <f t="shared" ca="1" si="9"/>
        <v>3.5034353741496598</v>
      </c>
      <c r="H19" s="237">
        <f t="shared" ca="1" si="10"/>
        <v>14.45592970521542</v>
      </c>
      <c r="I19" s="238"/>
      <c r="J19" s="237">
        <f t="shared" ca="1" si="3"/>
        <v>7.8461538461538458</v>
      </c>
      <c r="K19" s="237">
        <f t="shared" ca="1" si="4"/>
        <v>38.692307692307693</v>
      </c>
      <c r="L19" s="238"/>
      <c r="M19" s="237">
        <f t="shared" ca="1" si="5"/>
        <v>4.6160409556313994E-2</v>
      </c>
      <c r="N19" s="237">
        <f t="shared" ca="1" si="6"/>
        <v>0.3191126279863481</v>
      </c>
      <c r="O19" s="238"/>
      <c r="P19" s="486"/>
      <c r="Q19" s="242">
        <f t="shared" ca="1" si="11"/>
        <v>3.7985832099532733</v>
      </c>
      <c r="R19" s="243">
        <f t="shared" ca="1" si="12"/>
        <v>17.822450008503154</v>
      </c>
      <c r="T19" s="242">
        <f t="shared" ca="1" si="13"/>
        <v>3.8969658218878109</v>
      </c>
      <c r="U19" s="243">
        <f t="shared" ca="1" si="14"/>
        <v>18.9446234429324</v>
      </c>
    </row>
    <row r="20" spans="1:21" ht="14.45">
      <c r="A20" s="524"/>
      <c r="B20" s="442">
        <f ca="1">B10</f>
        <v>45657</v>
      </c>
      <c r="C20" s="229"/>
      <c r="D20" s="237">
        <f t="shared" ca="1" si="7"/>
        <v>4.8</v>
      </c>
      <c r="E20" s="237">
        <f t="shared" ca="1" si="8"/>
        <v>75.524999999999991</v>
      </c>
      <c r="F20" s="238"/>
      <c r="G20" s="237">
        <f t="shared" ca="1" si="9"/>
        <v>0.84695393759286774</v>
      </c>
      <c r="H20" s="237">
        <f t="shared" ca="1" si="10"/>
        <v>6.8647845468053488</v>
      </c>
      <c r="I20" s="238"/>
      <c r="J20" s="237">
        <f t="shared" ca="1" si="3"/>
        <v>9.2099999999999991</v>
      </c>
      <c r="K20" s="237">
        <f t="shared" ca="1" si="4"/>
        <v>73.857142857142847</v>
      </c>
      <c r="L20" s="238"/>
      <c r="M20" s="237">
        <f t="shared" ca="1" si="5"/>
        <v>7.4857405703771848E-2</v>
      </c>
      <c r="N20" s="237">
        <f t="shared" ca="1" si="6"/>
        <v>0.35326586936522542</v>
      </c>
      <c r="O20" s="238"/>
      <c r="P20" s="486"/>
      <c r="Q20" s="242">
        <f t="shared" ca="1" si="11"/>
        <v>3.3772704477655466</v>
      </c>
      <c r="R20" s="243">
        <f t="shared" ca="1" si="12"/>
        <v>27.025064424437812</v>
      </c>
      <c r="T20" s="242">
        <f t="shared" ca="1" si="13"/>
        <v>4.2207092844897725</v>
      </c>
      <c r="U20" s="243">
        <f t="shared" ca="1" si="14"/>
        <v>33.745157716981964</v>
      </c>
    </row>
    <row r="21" spans="1:21" ht="14.45">
      <c r="A21" s="525"/>
      <c r="B21" s="239" t="s">
        <v>277</v>
      </c>
      <c r="C21" s="232"/>
      <c r="D21" s="240">
        <f ca="1">IFERROR(AVERAGE(D17:D20),"NA")</f>
        <v>34.016549789621322</v>
      </c>
      <c r="E21" s="240">
        <f ca="1">IFERROR(AVERAGE(E17:E20),"NA")</f>
        <v>73.752778751753155</v>
      </c>
      <c r="F21" s="241"/>
      <c r="G21" s="240">
        <f ca="1">IFERROR(AVERAGE(G17:G20),"NA")</f>
        <v>9.1008150712368501</v>
      </c>
      <c r="H21" s="240">
        <f ca="1">IFERROR(AVERAGE(H17:H20),"NA")</f>
        <v>44.029354794878337</v>
      </c>
      <c r="I21" s="507"/>
      <c r="J21" s="240">
        <f ca="1">IFERROR(AVERAGE(J17:J20),"NA")</f>
        <v>25.989134246979074</v>
      </c>
      <c r="K21" s="240">
        <f ca="1">IFERROR(AVERAGE(K17:K20),"NA")</f>
        <v>119.24464233084922</v>
      </c>
      <c r="L21" s="241"/>
      <c r="M21" s="240">
        <f ca="1">IFERROR(AVERAGE(M17:M20),"NA")</f>
        <v>0.29717424971711826</v>
      </c>
      <c r="N21" s="240">
        <f ca="1">IFERROR(AVERAGE(N17:N20),"NA")</f>
        <v>1.0870627074652686</v>
      </c>
      <c r="O21" s="241"/>
      <c r="P21" s="486"/>
      <c r="Q21" s="244">
        <f ca="1">IFERROR(AVERAGE(Q17:Q20),"NA")</f>
        <v>11.795707855977682</v>
      </c>
      <c r="R21" s="245">
        <f ca="1">IFERROR(AVERAGE(R17:R20),"NA")</f>
        <v>54.787019944397613</v>
      </c>
      <c r="T21" s="244">
        <f ca="1">IFERROR(AVERAGE(T17:T20),"NA")</f>
        <v>12.694005450891291</v>
      </c>
      <c r="U21" s="245">
        <f ca="1">IFERROR(AVERAGE(U17:U20),"NA")</f>
        <v>58.372908327570705</v>
      </c>
    </row>
    <row r="22" spans="1:21" ht="8.1" customHeight="1">
      <c r="A22" s="209"/>
      <c r="B22" s="207"/>
      <c r="C22" s="208"/>
      <c r="D22" s="210"/>
      <c r="E22" s="210"/>
      <c r="F22" s="208"/>
      <c r="G22" s="210"/>
      <c r="H22" s="210"/>
      <c r="I22" s="208"/>
      <c r="J22" s="210"/>
      <c r="K22" s="210"/>
      <c r="L22" s="208"/>
      <c r="M22" s="210"/>
      <c r="N22" s="210"/>
      <c r="O22" s="208"/>
      <c r="P22" s="208"/>
      <c r="Q22" s="210"/>
      <c r="R22" s="210"/>
    </row>
    <row r="23" spans="1:21" ht="14.45" customHeight="1">
      <c r="A23" s="492" t="s">
        <v>278</v>
      </c>
      <c r="B23" s="207"/>
      <c r="C23" s="208"/>
      <c r="D23" s="521"/>
      <c r="E23" s="521"/>
      <c r="F23" s="208"/>
      <c r="G23" s="537">
        <v>0</v>
      </c>
      <c r="H23" s="537"/>
      <c r="I23" s="489"/>
      <c r="J23" s="537">
        <v>0</v>
      </c>
      <c r="K23" s="537"/>
      <c r="L23" s="489"/>
      <c r="M23" s="537">
        <v>0</v>
      </c>
      <c r="N23" s="537"/>
      <c r="O23" s="490"/>
      <c r="P23" s="486"/>
      <c r="Q23" s="491">
        <f ca="1">AVERAGE(G21*(1-G23),M21*(1-M23),J21*(1-J23))</f>
        <v>11.795707855977682</v>
      </c>
      <c r="R23" s="491">
        <f ca="1">AVERAGE(H21*(1-G23),N21*(1-M23),K21*(1-J23))</f>
        <v>54.787019944397606</v>
      </c>
      <c r="S23" s="487"/>
    </row>
    <row r="24" spans="1:21" ht="8.1" customHeight="1">
      <c r="A24" s="209"/>
      <c r="B24" s="207"/>
      <c r="C24" s="208"/>
      <c r="D24" s="210"/>
      <c r="E24" s="210"/>
      <c r="F24" s="208"/>
      <c r="G24" s="210"/>
      <c r="H24" s="210"/>
      <c r="I24" s="208"/>
      <c r="J24" s="210"/>
      <c r="K24" s="210"/>
      <c r="L24" s="208"/>
      <c r="M24" s="210"/>
      <c r="N24" s="210"/>
      <c r="O24" s="208"/>
      <c r="P24" s="208"/>
      <c r="Q24" s="210"/>
      <c r="R24" s="210"/>
    </row>
    <row r="25" spans="1:21" ht="14.45">
      <c r="A25" s="215" t="s">
        <v>279</v>
      </c>
      <c r="B25" s="216"/>
      <c r="C25" s="217"/>
      <c r="D25" s="217"/>
      <c r="E25" s="216"/>
      <c r="F25" s="217"/>
      <c r="G25" s="216"/>
      <c r="H25" s="216"/>
      <c r="I25" s="217"/>
      <c r="J25" s="216"/>
      <c r="K25" s="217"/>
      <c r="L25" s="217"/>
      <c r="M25" s="217"/>
      <c r="N25" s="217"/>
      <c r="O25" s="217"/>
      <c r="P25" s="217"/>
      <c r="Q25" s="217"/>
      <c r="R25" s="217"/>
    </row>
    <row r="26" spans="1:21" ht="14.45">
      <c r="A26" s="218" t="s">
        <v>280</v>
      </c>
      <c r="B26" s="202"/>
      <c r="D26" s="219">
        <f ca="1">AVERAGE($Q$23:$R$23)</f>
        <v>33.291363900187648</v>
      </c>
      <c r="E26" s="202"/>
      <c r="H26" s="220"/>
      <c r="J26" s="202"/>
    </row>
    <row r="27" spans="1:21" ht="14.45">
      <c r="A27" s="218" t="s">
        <v>281</v>
      </c>
      <c r="B27" s="202"/>
      <c r="D27" s="221">
        <f ca="1">AVERAGE($D$21:$E$21)</f>
        <v>53.884664270687239</v>
      </c>
      <c r="E27" s="202"/>
      <c r="G27" s="488">
        <f ca="1">AVERAGE(G21:H21)</f>
        <v>26.565084933057594</v>
      </c>
      <c r="H27" s="488"/>
      <c r="I27" s="488">
        <f t="shared" ref="I27" ca="1" si="15">AVERAGE(I21:J21)</f>
        <v>25.989134246979074</v>
      </c>
      <c r="J27" s="488"/>
      <c r="K27" s="488"/>
      <c r="L27" s="488"/>
      <c r="M27" s="488"/>
      <c r="N27" s="488"/>
      <c r="O27" s="488" t="e">
        <f>AVERAGE(O21:O21)</f>
        <v>#DIV/0!</v>
      </c>
    </row>
    <row r="28" spans="1:21" ht="8.1" customHeight="1">
      <c r="A28" s="202"/>
      <c r="B28" s="222"/>
      <c r="D28" s="223"/>
      <c r="E28" s="223"/>
      <c r="G28" s="223"/>
      <c r="H28" s="223"/>
      <c r="J28" s="223"/>
      <c r="K28" s="223"/>
      <c r="M28" s="223"/>
      <c r="N28" s="223"/>
      <c r="Q28" s="223"/>
      <c r="R28" s="223"/>
    </row>
    <row r="29" spans="1:21" ht="14.45">
      <c r="A29" s="218" t="s">
        <v>282</v>
      </c>
      <c r="B29" s="202"/>
      <c r="D29" s="224">
        <f ca="1">AVERAGE(D27,D26)</f>
        <v>43.588014085437443</v>
      </c>
      <c r="E29" s="202"/>
      <c r="J29" s="202"/>
    </row>
    <row r="30" spans="1:21" ht="14.45">
      <c r="A30" s="218" t="s">
        <v>283</v>
      </c>
      <c r="B30" s="202"/>
      <c r="D30" s="225">
        <f ca="1">Financials!J11/Assumptions!B25</f>
        <v>0.38735529165733062</v>
      </c>
      <c r="E30" s="202"/>
      <c r="J30" s="202"/>
    </row>
    <row r="31" spans="1:21" ht="8.1" customHeight="1">
      <c r="A31" s="202"/>
      <c r="B31" s="222"/>
      <c r="D31" s="223"/>
      <c r="E31" s="223"/>
      <c r="G31" s="223"/>
      <c r="H31" s="223"/>
      <c r="J31" s="223"/>
      <c r="K31" s="223"/>
      <c r="M31" s="223"/>
      <c r="N31" s="223"/>
      <c r="Q31" s="223"/>
      <c r="R31" s="223"/>
    </row>
    <row r="32" spans="1:21" ht="14.45">
      <c r="A32" s="252" t="s">
        <v>284</v>
      </c>
      <c r="B32" s="213"/>
      <c r="C32" s="214"/>
      <c r="D32" s="253">
        <f ca="1">D29*D30</f>
        <v>16.884047908828457</v>
      </c>
      <c r="E32" s="213"/>
      <c r="F32" s="214"/>
      <c r="G32" s="214"/>
      <c r="H32" s="214"/>
      <c r="I32" s="214"/>
      <c r="J32" s="213"/>
      <c r="K32" s="213"/>
      <c r="L32" s="214"/>
      <c r="M32" s="213"/>
      <c r="N32" s="213"/>
      <c r="O32" s="214"/>
      <c r="P32" s="214"/>
      <c r="Q32" s="213"/>
      <c r="R32" s="213"/>
    </row>
    <row r="33" spans="1:18" ht="14.45">
      <c r="A33" s="206"/>
      <c r="B33" s="202"/>
      <c r="E33" s="203"/>
      <c r="J33" s="202"/>
      <c r="K33" s="202"/>
      <c r="M33" s="202"/>
      <c r="N33" s="202"/>
      <c r="Q33" s="202"/>
      <c r="R33" s="202"/>
    </row>
    <row r="34" spans="1:18" ht="14.45">
      <c r="A34" s="254" t="s">
        <v>285</v>
      </c>
      <c r="B34" s="255"/>
      <c r="C34" s="255"/>
      <c r="D34" s="255"/>
      <c r="E34" s="255"/>
      <c r="F34" s="255"/>
      <c r="G34" s="255"/>
      <c r="H34" s="255"/>
      <c r="I34" s="255"/>
      <c r="J34" s="255"/>
      <c r="K34" s="255"/>
      <c r="L34" s="255"/>
      <c r="M34" s="255"/>
      <c r="N34" s="255"/>
      <c r="O34" s="255"/>
      <c r="P34" s="255"/>
      <c r="Q34" s="255"/>
      <c r="R34" s="255"/>
    </row>
    <row r="35" spans="1:18" ht="14.45">
      <c r="A35" s="257" t="s">
        <v>286</v>
      </c>
    </row>
    <row r="36" spans="1:18" ht="14.45">
      <c r="A36" s="257" t="s">
        <v>287</v>
      </c>
    </row>
    <row r="37" spans="1:18" ht="14.45">
      <c r="A37" s="258" t="s">
        <v>288</v>
      </c>
      <c r="B37" s="256"/>
      <c r="C37" s="256"/>
      <c r="D37" s="256"/>
      <c r="E37" s="256"/>
      <c r="F37" s="256"/>
      <c r="G37" s="256"/>
      <c r="H37" s="256"/>
      <c r="I37" s="256"/>
      <c r="J37" s="256"/>
      <c r="K37" s="256"/>
      <c r="L37" s="256"/>
      <c r="M37" s="256"/>
      <c r="N37" s="256"/>
      <c r="O37" s="256"/>
      <c r="P37" s="256"/>
      <c r="Q37" s="256"/>
      <c r="R37" s="256"/>
    </row>
  </sheetData>
  <mergeCells count="32">
    <mergeCell ref="Q3:R3"/>
    <mergeCell ref="D23:E23"/>
    <mergeCell ref="G23:H23"/>
    <mergeCell ref="J23:K23"/>
    <mergeCell ref="M23:N23"/>
    <mergeCell ref="J15:K15"/>
    <mergeCell ref="M15:N15"/>
    <mergeCell ref="J3:K3"/>
    <mergeCell ref="M3:N3"/>
    <mergeCell ref="J12:K12"/>
    <mergeCell ref="M12:N12"/>
    <mergeCell ref="J13:K13"/>
    <mergeCell ref="M13:N13"/>
    <mergeCell ref="Q12:R12"/>
    <mergeCell ref="Q13:R13"/>
    <mergeCell ref="Q14:R14"/>
    <mergeCell ref="A7:A10"/>
    <mergeCell ref="D3:E3"/>
    <mergeCell ref="G3:H3"/>
    <mergeCell ref="D14:E14"/>
    <mergeCell ref="G14:H14"/>
    <mergeCell ref="D12:E12"/>
    <mergeCell ref="G13:H13"/>
    <mergeCell ref="G12:H12"/>
    <mergeCell ref="D13:E13"/>
    <mergeCell ref="Q15:R15"/>
    <mergeCell ref="J14:K14"/>
    <mergeCell ref="M14:N14"/>
    <mergeCell ref="A17:A21"/>
    <mergeCell ref="A12:A15"/>
    <mergeCell ref="D15:E15"/>
    <mergeCell ref="G15:H15"/>
  </mergeCells>
  <phoneticPr fontId="1" type="noConversion"/>
  <printOptions horizontalCentered="1"/>
  <pageMargins left="0.7" right="0.7" top="0.75" bottom="0.75" header="0.3" footer="0.3"/>
  <pageSetup scale="83" orientation="landscape"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5C9D2-B42A-4248-ADF8-F233CB897E3E}">
  <sheetPr>
    <tabColor theme="9"/>
    <pageSetUpPr fitToPage="1"/>
  </sheetPr>
  <dimension ref="A1:U41"/>
  <sheetViews>
    <sheetView showGridLines="0" zoomScale="83" workbookViewId="0">
      <pane xSplit="2" ySplit="5" topLeftCell="C24" activePane="bottomRight" state="frozen"/>
      <selection pane="bottomRight" activeCell="D36" sqref="D36"/>
      <selection pane="bottomLeft" activeCell="A6" sqref="A6"/>
      <selection pane="topRight" activeCell="C1" sqref="C1"/>
    </sheetView>
  </sheetViews>
  <sheetFormatPr defaultColWidth="8.85546875" defaultRowHeight="15" customHeight="1"/>
  <cols>
    <col min="1" max="1" width="28.140625" customWidth="1"/>
    <col min="2" max="2" width="8.140625" customWidth="1"/>
    <col min="3" max="3" width="1.140625" customWidth="1"/>
    <col min="4" max="4" width="14.85546875" bestFit="1" customWidth="1"/>
    <col min="5" max="5" width="14" bestFit="1" customWidth="1"/>
    <col min="6" max="6" width="1.140625" customWidth="1"/>
    <col min="7" max="8" width="14.42578125" bestFit="1" customWidth="1"/>
    <col min="9" max="9" width="1.140625" customWidth="1"/>
    <col min="10" max="10" width="12" bestFit="1" customWidth="1"/>
    <col min="11" max="11" width="12.42578125" bestFit="1" customWidth="1"/>
    <col min="12" max="12" width="1.140625" customWidth="1"/>
    <col min="13" max="13" width="13.7109375" customWidth="1"/>
    <col min="14" max="14" width="13.42578125" bestFit="1" customWidth="1"/>
    <col min="15" max="15" width="1.140625" customWidth="1"/>
    <col min="16" max="16" width="1.28515625" customWidth="1"/>
    <col min="17" max="17" width="14.85546875" customWidth="1"/>
    <col min="18" max="18" width="12.85546875" bestFit="1" customWidth="1"/>
  </cols>
  <sheetData>
    <row r="1" spans="1:21" ht="26.1" customHeight="1">
      <c r="A1" s="204" t="s">
        <v>289</v>
      </c>
      <c r="B1" s="205"/>
      <c r="C1" s="205"/>
      <c r="D1" s="205"/>
      <c r="E1" s="205"/>
      <c r="F1" s="205"/>
      <c r="G1" s="205"/>
      <c r="H1" s="205"/>
      <c r="I1" s="205"/>
      <c r="J1" s="205"/>
      <c r="K1" s="205"/>
      <c r="L1" s="205"/>
      <c r="M1" s="205"/>
      <c r="N1" s="205"/>
      <c r="O1" s="205"/>
      <c r="P1" s="205"/>
      <c r="Q1" s="205"/>
      <c r="R1" s="205"/>
    </row>
    <row r="2" spans="1:21" ht="8.1" customHeight="1">
      <c r="A2" s="209"/>
      <c r="B2" s="207"/>
      <c r="C2" s="208"/>
      <c r="D2" s="210"/>
      <c r="E2" s="210"/>
      <c r="F2" s="208"/>
      <c r="G2" s="210"/>
      <c r="H2" s="210"/>
      <c r="I2" s="208"/>
      <c r="J2" s="210"/>
      <c r="K2" s="210"/>
      <c r="L2" s="208"/>
      <c r="M2" s="210"/>
      <c r="N2" s="210"/>
      <c r="O2" s="208"/>
      <c r="P2" s="208"/>
      <c r="Q2" s="210"/>
      <c r="R2" s="210"/>
    </row>
    <row r="3" spans="1:21" ht="14.45" customHeight="1">
      <c r="A3" s="250" t="s">
        <v>268</v>
      </c>
      <c r="B3" s="251"/>
      <c r="C3" s="249"/>
      <c r="D3" s="533" t="str">
        <f>Comp_Name</f>
        <v>Nu Scale</v>
      </c>
      <c r="E3" s="533"/>
      <c r="F3" s="249"/>
      <c r="G3" s="534" t="s">
        <v>269</v>
      </c>
      <c r="H3" s="534"/>
      <c r="I3" s="249"/>
      <c r="J3" s="534" t="s">
        <v>270</v>
      </c>
      <c r="K3" s="534"/>
      <c r="L3" s="249"/>
      <c r="M3" s="534" t="s">
        <v>271</v>
      </c>
      <c r="N3" s="534"/>
      <c r="O3" s="249"/>
      <c r="P3" s="249"/>
      <c r="Q3" s="536" t="s">
        <v>272</v>
      </c>
      <c r="R3" s="536"/>
    </row>
    <row r="4" spans="1:21" ht="8.1" customHeight="1">
      <c r="A4" s="209"/>
      <c r="B4" s="207"/>
      <c r="C4" s="208"/>
      <c r="D4" s="210"/>
      <c r="E4" s="210"/>
      <c r="F4" s="208"/>
      <c r="G4" s="210"/>
      <c r="H4" s="210"/>
      <c r="I4" s="208"/>
      <c r="J4" s="210"/>
      <c r="K4" s="210"/>
      <c r="L4" s="208"/>
      <c r="M4" s="210"/>
      <c r="N4" s="210"/>
      <c r="O4" s="208"/>
      <c r="P4" s="208"/>
      <c r="Q4" s="210"/>
      <c r="R4" s="210"/>
    </row>
    <row r="5" spans="1:21" ht="14.45">
      <c r="A5" s="246"/>
      <c r="B5" s="247" t="s">
        <v>273</v>
      </c>
      <c r="C5" s="248"/>
      <c r="D5" s="247" t="s">
        <v>35</v>
      </c>
      <c r="E5" s="247" t="s">
        <v>37</v>
      </c>
      <c r="F5" s="248"/>
      <c r="G5" s="247" t="s">
        <v>35</v>
      </c>
      <c r="H5" s="247" t="s">
        <v>37</v>
      </c>
      <c r="I5" s="248"/>
      <c r="J5" s="247" t="s">
        <v>35</v>
      </c>
      <c r="K5" s="247" t="s">
        <v>37</v>
      </c>
      <c r="L5" s="248"/>
      <c r="M5" s="247" t="s">
        <v>35</v>
      </c>
      <c r="N5" s="247" t="s">
        <v>37</v>
      </c>
      <c r="O5" s="248"/>
      <c r="P5" s="248"/>
      <c r="Q5" s="247" t="s">
        <v>35</v>
      </c>
      <c r="R5" s="247" t="s">
        <v>37</v>
      </c>
    </row>
    <row r="6" spans="1:21" ht="8.1" customHeight="1">
      <c r="A6" s="209"/>
      <c r="B6" s="207"/>
      <c r="C6" s="208"/>
      <c r="D6" s="210"/>
      <c r="E6" s="210"/>
      <c r="F6" s="208"/>
      <c r="G6" s="210"/>
      <c r="H6" s="210"/>
      <c r="I6" s="208"/>
      <c r="J6" s="210"/>
      <c r="K6" s="210"/>
      <c r="L6" s="208"/>
      <c r="M6" s="506"/>
      <c r="N6" s="210"/>
      <c r="O6" s="208"/>
      <c r="P6" s="208"/>
      <c r="Q6" s="210"/>
      <c r="R6" s="210"/>
    </row>
    <row r="7" spans="1:21" ht="14.45">
      <c r="A7" s="530" t="s">
        <v>290</v>
      </c>
      <c r="B7" s="441" cm="1">
        <f t="array" aca="1" ref="B7" ca="1">INDEX(Annual_Periods,1)</f>
        <v>44560</v>
      </c>
      <c r="C7" s="226"/>
      <c r="D7" s="501">
        <v>246100</v>
      </c>
      <c r="E7" s="501">
        <v>336950</v>
      </c>
      <c r="F7" s="228"/>
      <c r="G7" s="504">
        <v>1799524.2</v>
      </c>
      <c r="H7" s="504">
        <v>9014649.0999999996</v>
      </c>
      <c r="I7" s="228"/>
      <c r="J7" s="504">
        <v>403815.3</v>
      </c>
      <c r="K7" s="504">
        <v>1516324.4</v>
      </c>
      <c r="L7" s="228"/>
      <c r="M7" s="504">
        <v>98889.1</v>
      </c>
      <c r="N7" s="504">
        <v>3198080</v>
      </c>
      <c r="O7" s="228"/>
      <c r="P7" s="157"/>
      <c r="Q7" s="211">
        <f>AVERAGE(D7, G7, J7, M7)</f>
        <v>637082.15</v>
      </c>
      <c r="R7" s="211">
        <f>AVERAGE(E7, H7, K7, N7)</f>
        <v>3516500.875</v>
      </c>
      <c r="T7" s="505"/>
      <c r="U7" s="505"/>
    </row>
    <row r="8" spans="1:21" ht="14.45">
      <c r="A8" s="531"/>
      <c r="B8" s="442">
        <f ca="1">EOMONTH(B7,12)</f>
        <v>44926</v>
      </c>
      <c r="C8" s="229"/>
      <c r="D8" s="502">
        <v>271687</v>
      </c>
      <c r="E8" s="502">
        <v>3384056.5</v>
      </c>
      <c r="F8" s="231"/>
      <c r="G8" s="502">
        <v>1034593.9</v>
      </c>
      <c r="H8" s="502">
        <v>2544813.1</v>
      </c>
      <c r="I8" s="231"/>
      <c r="J8" s="502">
        <v>60979.199999999997</v>
      </c>
      <c r="K8" s="502">
        <v>408111.2</v>
      </c>
      <c r="L8" s="231"/>
      <c r="M8" s="502">
        <v>393573.9</v>
      </c>
      <c r="N8" s="502">
        <v>1088408.3</v>
      </c>
      <c r="O8" s="231"/>
      <c r="P8" s="157"/>
      <c r="Q8" s="211">
        <f t="shared" ref="Q8:R10" si="0">AVERAGE(D8, G8, J8, M8)</f>
        <v>440208.5</v>
      </c>
      <c r="R8" s="211">
        <f t="shared" si="0"/>
        <v>1856347.2749999999</v>
      </c>
      <c r="T8" s="505"/>
      <c r="U8" s="505"/>
    </row>
    <row r="9" spans="1:21" ht="14.45">
      <c r="A9" s="531"/>
      <c r="B9" s="442">
        <f ca="1">EOMONTH(B8,12)</f>
        <v>45291</v>
      </c>
      <c r="C9" s="229"/>
      <c r="D9" s="502">
        <v>481510.7</v>
      </c>
      <c r="E9" s="502">
        <v>2497188.6</v>
      </c>
      <c r="F9" s="231"/>
      <c r="G9" s="502">
        <v>464145.1</v>
      </c>
      <c r="H9" s="502">
        <v>1724323.1</v>
      </c>
      <c r="I9" s="231"/>
      <c r="J9" s="502">
        <v>104886.2</v>
      </c>
      <c r="K9" s="502">
        <v>639707.69999999995</v>
      </c>
      <c r="L9" s="231"/>
      <c r="M9" s="502">
        <v>98889.1</v>
      </c>
      <c r="N9" s="502">
        <v>672130.8</v>
      </c>
      <c r="O9" s="231"/>
      <c r="P9" s="157"/>
      <c r="Q9" s="211">
        <f t="shared" si="0"/>
        <v>287357.77500000002</v>
      </c>
      <c r="R9" s="211">
        <f t="shared" si="0"/>
        <v>1383337.55</v>
      </c>
      <c r="T9" s="505"/>
      <c r="U9" s="505"/>
    </row>
    <row r="10" spans="1:21" ht="14.45">
      <c r="A10" s="532"/>
      <c r="B10" s="443">
        <f ca="1">EOMONTH(B9,12)</f>
        <v>45657</v>
      </c>
      <c r="C10" s="232"/>
      <c r="D10" s="503">
        <v>444157.5</v>
      </c>
      <c r="E10" s="503">
        <v>7720523.4000000004</v>
      </c>
      <c r="F10" s="234"/>
      <c r="G10" s="503">
        <v>116142.9</v>
      </c>
      <c r="H10" s="503">
        <v>671720.6</v>
      </c>
      <c r="I10" s="234"/>
      <c r="J10" s="503">
        <v>130864</v>
      </c>
      <c r="K10" s="503">
        <v>1126607</v>
      </c>
      <c r="L10" s="234"/>
      <c r="M10" s="503">
        <v>148735.79999999999</v>
      </c>
      <c r="N10" s="503">
        <v>667140.19999999995</v>
      </c>
      <c r="O10" s="234"/>
      <c r="P10" s="157"/>
      <c r="Q10" s="211">
        <f t="shared" si="0"/>
        <v>209975.05</v>
      </c>
      <c r="R10" s="211">
        <f t="shared" si="0"/>
        <v>2546497.7999999998</v>
      </c>
      <c r="T10" s="505"/>
      <c r="U10" s="505"/>
    </row>
    <row r="11" spans="1:21" ht="8.1" customHeight="1">
      <c r="A11" s="209"/>
      <c r="B11" s="444"/>
      <c r="C11" s="208"/>
      <c r="D11" s="210"/>
      <c r="E11" s="210"/>
      <c r="F11" s="208"/>
      <c r="G11" s="210"/>
      <c r="H11" s="210"/>
      <c r="I11" s="208"/>
      <c r="J11" s="210"/>
      <c r="K11" s="210"/>
      <c r="L11" s="208"/>
      <c r="M11" s="210"/>
      <c r="N11" s="210"/>
      <c r="O11" s="208"/>
      <c r="P11" s="208"/>
      <c r="Q11" s="212"/>
      <c r="R11" s="212"/>
    </row>
    <row r="12" spans="1:21" ht="14.45" customHeight="1">
      <c r="A12" s="526" t="s">
        <v>291</v>
      </c>
      <c r="B12" s="441">
        <f ca="1">B7</f>
        <v>44560</v>
      </c>
      <c r="C12" s="226"/>
      <c r="D12" s="540">
        <f ca="1">Financials!F11</f>
        <v>2862</v>
      </c>
      <c r="E12" s="540"/>
      <c r="F12" s="226"/>
      <c r="G12" s="541">
        <v>69585</v>
      </c>
      <c r="H12" s="541"/>
      <c r="I12" s="447"/>
      <c r="J12" s="541">
        <v>4598</v>
      </c>
      <c r="K12" s="541"/>
      <c r="L12" s="447"/>
      <c r="M12" s="541">
        <v>200</v>
      </c>
      <c r="N12" s="541"/>
      <c r="O12" s="447"/>
      <c r="P12" s="208"/>
      <c r="Q12" s="521">
        <f ca="1">AVERAGE(D12, G12, J12, M12)</f>
        <v>19311.25</v>
      </c>
      <c r="R12" s="521"/>
    </row>
    <row r="13" spans="1:21" ht="14.45" customHeight="1">
      <c r="A13" s="527"/>
      <c r="B13" s="442">
        <f ca="1">B8</f>
        <v>44926</v>
      </c>
      <c r="C13" s="229"/>
      <c r="D13" s="539">
        <f ca="1">Financials!G11</f>
        <v>11804</v>
      </c>
      <c r="E13" s="539"/>
      <c r="F13" s="229"/>
      <c r="G13" s="538">
        <v>130484</v>
      </c>
      <c r="H13" s="538"/>
      <c r="I13" s="448"/>
      <c r="J13" s="538">
        <v>17924</v>
      </c>
      <c r="K13" s="538"/>
      <c r="L13" s="448"/>
      <c r="M13" s="538">
        <v>2106</v>
      </c>
      <c r="N13" s="538"/>
      <c r="O13" s="448"/>
      <c r="P13" s="208"/>
      <c r="Q13" s="521">
        <f ca="1">AVERAGE(D13, G13, J13, M13)</f>
        <v>40579.5</v>
      </c>
      <c r="R13" s="521"/>
    </row>
    <row r="14" spans="1:21" ht="14.45" customHeight="1">
      <c r="A14" s="527"/>
      <c r="B14" s="442">
        <f ca="1">B9</f>
        <v>45291</v>
      </c>
      <c r="C14" s="229"/>
      <c r="D14" s="539">
        <f ca="1">Financials!H11</f>
        <v>22810</v>
      </c>
      <c r="E14" s="539"/>
      <c r="F14" s="229"/>
      <c r="G14" s="538">
        <v>123394</v>
      </c>
      <c r="H14" s="538"/>
      <c r="I14" s="448"/>
      <c r="J14" s="538">
        <v>16378</v>
      </c>
      <c r="K14" s="538"/>
      <c r="L14" s="448"/>
      <c r="M14" s="538">
        <v>672</v>
      </c>
      <c r="N14" s="538"/>
      <c r="O14" s="448"/>
      <c r="P14" s="208"/>
      <c r="Q14" s="521">
        <f ca="1">AVERAGE(D14, G14, J14, M14)</f>
        <v>40813.5</v>
      </c>
      <c r="R14" s="521"/>
    </row>
    <row r="15" spans="1:21" ht="14.45" customHeight="1">
      <c r="A15" s="528"/>
      <c r="B15" s="443">
        <f ca="1">B10</f>
        <v>45657</v>
      </c>
      <c r="C15" s="232"/>
      <c r="D15" s="542">
        <f ca="1">Financials!I11</f>
        <v>37045</v>
      </c>
      <c r="E15" s="542"/>
      <c r="F15" s="232"/>
      <c r="G15" s="543">
        <v>112132</v>
      </c>
      <c r="H15" s="543"/>
      <c r="I15" s="449"/>
      <c r="J15" s="543">
        <v>15606</v>
      </c>
      <c r="K15" s="543"/>
      <c r="L15" s="449"/>
      <c r="M15" s="543">
        <v>1509</v>
      </c>
      <c r="N15" s="543"/>
      <c r="O15" s="449"/>
      <c r="P15" s="208"/>
      <c r="Q15" s="521">
        <f ca="1">AVERAGE(D15, G15, J15, M15)</f>
        <v>41573</v>
      </c>
      <c r="R15" s="521"/>
    </row>
    <row r="16" spans="1:21" ht="8.1" customHeight="1">
      <c r="A16" s="209"/>
      <c r="B16" s="444"/>
      <c r="C16" s="208"/>
      <c r="D16" s="210"/>
      <c r="E16" s="210"/>
      <c r="F16" s="208"/>
      <c r="G16" s="210"/>
      <c r="H16" s="210"/>
      <c r="I16" s="208"/>
      <c r="J16" s="210"/>
      <c r="K16" s="210"/>
      <c r="L16" s="208"/>
      <c r="M16" s="210"/>
      <c r="N16" s="210"/>
      <c r="O16" s="208"/>
      <c r="P16" s="208"/>
      <c r="Q16" s="210"/>
      <c r="R16" s="210"/>
    </row>
    <row r="17" spans="1:19" ht="14.45">
      <c r="A17" s="523" t="s">
        <v>292</v>
      </c>
      <c r="B17" s="441">
        <f ca="1">B7</f>
        <v>44560</v>
      </c>
      <c r="C17" s="226"/>
      <c r="D17" s="235">
        <f ca="1">IFERROR(IF(INDEX(D$7:D$10,MATCH($B17,$B$7:$B$10,0))/INDEX(D$12:D$15,MATCH($B17,$B$12:$B$15,0))&lt;0,"NM",INDEX(D$7:D$10,MATCH($B17,$B$7:$B$10,0))/INDEX(D$12:D$15,MATCH($B17,$B$12:$B$15,0))),"NA")</f>
        <v>85.988819007686928</v>
      </c>
      <c r="E17" s="235">
        <f ca="1">IFERROR(IF(INDEX(E$7:E$10,MATCH($B17,$B$7:$B$10,0))/INDEX(D$12:D$15,MATCH($B17,$B$12:$B$15,0))&lt;0,"NM",INDEX(E$7:E$10,MATCH($B17,$B$7:$B$10,0))/INDEX(D$12:D$15,MATCH($B17,$B$12:$B$15,0))),"NA")</f>
        <v>117.73235499650593</v>
      </c>
      <c r="F17" s="236"/>
      <c r="G17" s="235">
        <f ca="1">IFERROR(IF(INDEX(G$7:G$10,MATCH($B17,$B$7:$B$10,0))/INDEX(G$12:G$15,MATCH($B17,$B$12:$B$15,0))&lt;0,"NM",INDEX(G$7:G$10,MATCH($B17,$B$7:$B$10,0))/INDEX(G$12:G$15,MATCH($B17,$B$12:$B$15,0))),"NA")</f>
        <v>25.860806208234532</v>
      </c>
      <c r="H17" s="235">
        <f ca="1">IFERROR(IF(INDEX(H$7:H$10,MATCH($B17,$B$7:$B$10,0))/INDEX(G$12:G$15,MATCH($B17,$B$12:$B$15,0))&lt;0,"NM",INDEX(H$7:H$10,MATCH($B17,$B$7:$B$10,0))/INDEX(G$12:G$15,MATCH($B17,$B$12:$B$15,0))),"NA")</f>
        <v>129.54874038945175</v>
      </c>
      <c r="I17" s="236"/>
      <c r="J17" s="235">
        <f ca="1">IFERROR(IF(INDEX(J$7:J$10,MATCH($B17,$B$7:$B$10,0))/INDEX(J$12:J$15,MATCH($B17,$B$12:$B$15,0))&lt;0,"NM",INDEX(J$7:J$10,MATCH($B17,$B$7:$B$10,0))/INDEX(J$12:J$15,MATCH($B17,$B$12:$B$15,0))),"NA")</f>
        <v>87.824119182253156</v>
      </c>
      <c r="K17" s="235">
        <f ca="1">IFERROR(IF(INDEX(K$7:K$10,MATCH($B17,$B$7:$B$10,0))/INDEX(J$12:J$15,MATCH($B17,$B$12:$B$15,0))&lt;0,"NM",INDEX(K$7:K$10,MATCH($B17,$B$7:$B$10,0))/INDEX(J$12:J$15,MATCH($B17,$B$12:$B$15,0))),"NA")</f>
        <v>329.77912135711176</v>
      </c>
      <c r="L17" s="236"/>
      <c r="M17" s="235" t="s">
        <v>293</v>
      </c>
      <c r="N17" s="235" t="s">
        <v>293</v>
      </c>
      <c r="O17" s="236"/>
      <c r="P17" s="486"/>
      <c r="Q17" s="242">
        <f ca="1">IFERROR(AVERAGE(G17,J17,M17),"NA")</f>
        <v>56.842462695243846</v>
      </c>
      <c r="R17" s="243">
        <f ca="1">IFERROR(AVERAGE(H17,K17,N17),"NA")</f>
        <v>229.66393087328174</v>
      </c>
    </row>
    <row r="18" spans="1:19" ht="14.45">
      <c r="A18" s="524"/>
      <c r="B18" s="442">
        <f ca="1">B8</f>
        <v>44926</v>
      </c>
      <c r="C18" s="229"/>
      <c r="D18" s="237">
        <f ca="1">IFERROR(IF(INDEX(D$7:D$10,MATCH($B18,$B$7:$B$10,0))/INDEX(D$12:D$15,MATCH($B18,$B$12:$B$15,0))&lt;0,"NM",INDEX(D$7:D$10,MATCH($B18,$B$7:$B$10,0))/INDEX(D$12:D$15,MATCH($B18,$B$12:$B$15,0))),"NA")</f>
        <v>23.016519823788546</v>
      </c>
      <c r="E18" s="237">
        <f t="shared" ref="E18:E20" ca="1" si="1">IFERROR(IF(INDEX(E$7:E$10,MATCH($B18,$B$7:$B$10,0))/INDEX(D$12:D$15,MATCH($B18,$B$12:$B$15,0))&lt;0,"NM",INDEX(E$7:E$10,MATCH($B18,$B$7:$B$10,0))/INDEX(D$12:D$15,MATCH($B18,$B$12:$B$15,0))),"NA")</f>
        <v>286.68726702812609</v>
      </c>
      <c r="F18" s="238"/>
      <c r="G18" s="237">
        <f t="shared" ref="G18:G20" ca="1" si="2">IFERROR(IF(INDEX(G$7:G$10,MATCH($B18,$B$7:$B$10,0))/INDEX(G$12:G$15,MATCH($B18,$B$12:$B$15,0))&lt;0,"NM",INDEX(G$7:G$10,MATCH($B18,$B$7:$B$10,0))/INDEX(G$12:G$15,MATCH($B18,$B$12:$B$15,0))),"NA")</f>
        <v>7.9288947303884001</v>
      </c>
      <c r="H18" s="237">
        <f t="shared" ref="H18:H20" ca="1" si="3">IFERROR(IF(INDEX(H$7:H$10,MATCH($B18,$B$7:$B$10,0))/INDEX(G$12:G$15,MATCH($B18,$B$12:$B$15,0))&lt;0,"NM",INDEX(H$7:H$10,MATCH($B18,$B$7:$B$10,0))/INDEX(G$12:G$15,MATCH($B18,$B$12:$B$15,0))),"NA")</f>
        <v>19.502874681953344</v>
      </c>
      <c r="I18" s="238"/>
      <c r="J18" s="237">
        <f ca="1">IFERROR(IF(INDEX(J$7:J$10,MATCH($B18,$B$7:$B$10,0))/INDEX(J$12:J$15,MATCH($B18,$B$12:$B$15,0))&lt;0,"NM",INDEX(J$7:J$10,MATCH($B18,$B$7:$B$10,0))/INDEX(J$12:J$15,MATCH($B18,$B$12:$B$15,0))),"NA")</f>
        <v>3.4020977460388306</v>
      </c>
      <c r="K18" s="237">
        <f ca="1">IFERROR(IF(INDEX(K$7:K$10,MATCH($B18,$B$7:$B$10,0))/INDEX(J$12:J$15,MATCH($B18,$B$12:$B$15,0))&lt;0,"NM",INDEX(K$7:K$10,MATCH($B18,$B$7:$B$10,0))/INDEX(J$12:J$15,MATCH($B18,$B$12:$B$15,0))),"NA")</f>
        <v>22.768980138361972</v>
      </c>
      <c r="L18" s="238"/>
      <c r="M18" s="237">
        <f t="shared" ref="M18:M20" ca="1" si="4">IFERROR(IF(INDEX(M$7:M$10,MATCH($B18,$B$7:$B$10,0))/INDEX(M$12:M$15,MATCH($B18,$B$12:$B$15,0))&lt;0,"NM",INDEX(M$7:M$10,MATCH($B18,$B$7:$B$10,0))/INDEX(M$12:M$15,MATCH($B18,$B$12:$B$15,0))),"NA")</f>
        <v>186.88219373219374</v>
      </c>
      <c r="N18" s="237">
        <f ca="1">IFERROR(IF(INDEX(N$7:N$10,MATCH($B18,$B$7:$B$10,0))/INDEX(M$12:M$15,MATCH($B18,$B$12:$B$15,0))&lt;0,"NM",INDEX(N$7:N$10,MATCH($B18,$B$7:$B$10,0))/INDEX(M$12:M$15,MATCH($B18,$B$12:$B$15,0))),"NA")</f>
        <v>516.81305792972466</v>
      </c>
      <c r="O18" s="238"/>
      <c r="P18" s="486"/>
      <c r="Q18" s="242">
        <f t="shared" ref="Q18:R20" ca="1" si="5">IFERROR(AVERAGE(G18,J18,M18),"NA")</f>
        <v>66.071062069540332</v>
      </c>
      <c r="R18" s="243">
        <f t="shared" ca="1" si="5"/>
        <v>186.36163758334666</v>
      </c>
    </row>
    <row r="19" spans="1:19" ht="14.45">
      <c r="A19" s="524"/>
      <c r="B19" s="442">
        <f ca="1">B9</f>
        <v>45291</v>
      </c>
      <c r="C19" s="229"/>
      <c r="D19" s="237">
        <f t="shared" ref="D19:D20" ca="1" si="6">IFERROR(IF(INDEX(D$7:D$10,MATCH($B19,$B$7:$B$10,0))/INDEX(D$12:D$15,MATCH($B19,$B$12:$B$15,0))&lt;0,"NM",INDEX(D$7:D$10,MATCH($B19,$B$7:$B$10,0))/INDEX(D$12:D$15,MATCH($B19,$B$12:$B$15,0))),"NA")</f>
        <v>21.10963174046471</v>
      </c>
      <c r="E19" s="237">
        <f t="shared" ca="1" si="1"/>
        <v>109.47779921087243</v>
      </c>
      <c r="F19" s="238"/>
      <c r="G19" s="237">
        <f t="shared" ca="1" si="2"/>
        <v>3.7614884030017666</v>
      </c>
      <c r="H19" s="237">
        <f t="shared" ca="1" si="3"/>
        <v>13.97412434964423</v>
      </c>
      <c r="I19" s="238"/>
      <c r="J19" s="237">
        <f ca="1">IFERROR(IF(INDEX(J$7:J$10,MATCH($B19,$B$7:$B$10,0))/INDEX(J$12:J$15,MATCH($B19,$B$12:$B$15,0))&lt;0,"NM",INDEX(J$7:J$10,MATCH($B19,$B$7:$B$10,0))/INDEX(J$12:J$15,MATCH($B19,$B$12:$B$15,0))),"NA")</f>
        <v>6.4040908535840764</v>
      </c>
      <c r="K19" s="237">
        <f ca="1">IFERROR(IF(INDEX(K$7:K$10,MATCH($B19,$B$7:$B$10,0))/INDEX(J$12:J$15,MATCH($B19,$B$12:$B$15,0))&lt;0,"NM",INDEX(K$7:K$10,MATCH($B19,$B$7:$B$10,0))/INDEX(J$12:J$15,MATCH($B19,$B$12:$B$15,0))),"NA")</f>
        <v>39.05896324337526</v>
      </c>
      <c r="L19" s="238"/>
      <c r="M19" s="237">
        <f t="shared" ca="1" si="4"/>
        <v>147.15639880952381</v>
      </c>
      <c r="N19" s="237">
        <f ca="1">IFERROR(IF(INDEX(N$7:N$10,MATCH($B19,$B$7:$B$10,0))/INDEX(M$12:M$15,MATCH($B19,$B$12:$B$15,0))&lt;0,"NM",INDEX(N$7:N$10,MATCH($B19,$B$7:$B$10,0))/INDEX(M$12:M$15,MATCH($B19,$B$12:$B$15,0))),"NA")</f>
        <v>1000.194642857143</v>
      </c>
      <c r="O19" s="238"/>
      <c r="P19" s="486"/>
      <c r="Q19" s="242">
        <f t="shared" ca="1" si="5"/>
        <v>52.440659355369881</v>
      </c>
      <c r="R19" s="243">
        <f t="shared" ca="1" si="5"/>
        <v>351.07591015005414</v>
      </c>
    </row>
    <row r="20" spans="1:19" ht="14.45">
      <c r="A20" s="524"/>
      <c r="B20" s="442">
        <f ca="1">B10</f>
        <v>45657</v>
      </c>
      <c r="C20" s="229"/>
      <c r="D20" s="237">
        <f t="shared" ca="1" si="6"/>
        <v>11.989674719935214</v>
      </c>
      <c r="E20" s="237">
        <f t="shared" ca="1" si="1"/>
        <v>208.40932379538401</v>
      </c>
      <c r="F20" s="238"/>
      <c r="G20" s="237">
        <f t="shared" ca="1" si="2"/>
        <v>1.0357694502907286</v>
      </c>
      <c r="H20" s="237">
        <f t="shared" ca="1" si="3"/>
        <v>5.990445189597974</v>
      </c>
      <c r="I20" s="238"/>
      <c r="J20" s="237">
        <f ca="1">IFERROR(IF(INDEX(J$7:J$10,MATCH($B20,$B$7:$B$10,0))/INDEX(J$12:J$15,MATCH($B20,$B$12:$B$15,0))&lt;0,"NM",INDEX(J$7:J$10,MATCH($B20,$B$7:$B$10,0))/INDEX(J$12:J$15,MATCH($B20,$B$12:$B$15,0))),"NA")</f>
        <v>8.3854927591951807</v>
      </c>
      <c r="K20" s="237">
        <f ca="1">IFERROR(IF(INDEX(K$7:K$10,MATCH($B20,$B$7:$B$10,0))/INDEX(J$12:J$15,MATCH($B20,$B$12:$B$15,0))&lt;0,"NM",INDEX(K$7:K$10,MATCH($B20,$B$7:$B$10,0))/INDEX(J$12:J$15,MATCH($B20,$B$12:$B$15,0))),"NA")</f>
        <v>72.190631808278866</v>
      </c>
      <c r="L20" s="238"/>
      <c r="M20" s="237">
        <f t="shared" ca="1" si="4"/>
        <v>98.565805168986074</v>
      </c>
      <c r="N20" s="237">
        <f ca="1">IFERROR(IF(INDEX(N$7:N$10,MATCH($B20,$B$7:$B$10,0))/INDEX(M$12:M$15,MATCH($B20,$B$12:$B$15,0))&lt;0,"NM",INDEX(N$7:N$10,MATCH($B20,$B$7:$B$10,0))/INDEX(M$12:M$15,MATCH($B20,$B$12:$B$15,0))),"NA")</f>
        <v>442.10748840291581</v>
      </c>
      <c r="O20" s="238"/>
      <c r="P20" s="486"/>
      <c r="Q20" s="242">
        <f t="shared" ca="1" si="5"/>
        <v>35.995689126157323</v>
      </c>
      <c r="R20" s="243">
        <f t="shared" ca="1" si="5"/>
        <v>173.42952180026421</v>
      </c>
    </row>
    <row r="21" spans="1:19" ht="14.45">
      <c r="A21" s="525"/>
      <c r="B21" s="239" t="s">
        <v>277</v>
      </c>
      <c r="C21" s="232"/>
      <c r="D21" s="240">
        <f ca="1">IFERROR(AVERAGE(D17:D20),"NA")</f>
        <v>35.526161322968846</v>
      </c>
      <c r="E21" s="240">
        <f ca="1">IFERROR(AVERAGE(E17:E20),"NA")</f>
        <v>180.57668625772212</v>
      </c>
      <c r="F21" s="241"/>
      <c r="G21" s="240">
        <f ca="1">IFERROR(AVERAGE(G17:G20),"NA")</f>
        <v>9.6467396979788553</v>
      </c>
      <c r="H21" s="240">
        <f ca="1">IFERROR(AVERAGE(H17:H20),"NA")</f>
        <v>42.254046152661822</v>
      </c>
      <c r="I21" s="507"/>
      <c r="J21" s="240">
        <f ca="1">IFERROR(AVERAGE(J17:J20),"NA")</f>
        <v>26.503950135267814</v>
      </c>
      <c r="K21" s="240">
        <f ca="1">IFERROR(AVERAGE(K17:K20),"NA")</f>
        <v>115.94942413678197</v>
      </c>
      <c r="L21" s="241"/>
      <c r="M21" s="240">
        <f ca="1">IFERROR(AVERAGE(M17:M20),"NA")</f>
        <v>144.20146590356788</v>
      </c>
      <c r="N21" s="240">
        <f ca="1">IFERROR(AVERAGE(N17:N20),"NA")</f>
        <v>653.03839639659452</v>
      </c>
      <c r="O21" s="241"/>
      <c r="P21" s="486"/>
      <c r="Q21" s="244">
        <f ca="1">IFERROR(AVERAGE(Q17:Q20),"NA")</f>
        <v>52.837468311577844</v>
      </c>
      <c r="R21" s="245">
        <f ca="1">IFERROR(AVERAGE(R17:R20),"NA")</f>
        <v>235.13275010173669</v>
      </c>
    </row>
    <row r="22" spans="1:19" ht="8.1" customHeight="1">
      <c r="A22" s="209"/>
      <c r="B22" s="207"/>
      <c r="C22" s="208"/>
      <c r="D22" s="210"/>
      <c r="E22" s="210"/>
      <c r="F22" s="208"/>
      <c r="G22" s="210"/>
      <c r="H22" s="210"/>
      <c r="I22" s="208"/>
      <c r="J22" s="210"/>
      <c r="K22" s="210"/>
      <c r="L22" s="208"/>
      <c r="M22" s="210"/>
      <c r="N22" s="210"/>
      <c r="O22" s="208"/>
      <c r="P22" s="208"/>
      <c r="Q22" s="210"/>
      <c r="R22" s="210"/>
    </row>
    <row r="23" spans="1:19" ht="14.45" customHeight="1">
      <c r="A23" s="492" t="s">
        <v>278</v>
      </c>
      <c r="B23" s="207"/>
      <c r="C23" s="208"/>
      <c r="D23" s="521"/>
      <c r="E23" s="521"/>
      <c r="F23" s="208"/>
      <c r="G23" s="537">
        <v>0.1</v>
      </c>
      <c r="H23" s="537"/>
      <c r="I23" s="489"/>
      <c r="J23" s="537">
        <v>0.2</v>
      </c>
      <c r="K23" s="537"/>
      <c r="L23" s="489"/>
      <c r="M23" s="537">
        <v>0.5</v>
      </c>
      <c r="N23" s="537"/>
      <c r="O23" s="490"/>
      <c r="P23" s="486">
        <f ca="1">AVERAGE(G21*(1-G23),J21*(1-J23),M21*(1-M23))</f>
        <v>33.995319596059723</v>
      </c>
      <c r="Q23" s="491">
        <f ca="1">AVERAGE(G21*(1-$G$23),M21*(1-$M$23),J21*(1-$J$23))</f>
        <v>33.995319596059723</v>
      </c>
      <c r="R23" s="491">
        <f ca="1">AVERAGE(H21*(1-$G$23),N21*(1-$M$23),K21*(1-$J$23))</f>
        <v>152.43579301503948</v>
      </c>
      <c r="S23" s="487"/>
    </row>
    <row r="24" spans="1:19" ht="8.1" customHeight="1">
      <c r="A24" s="209"/>
      <c r="B24" s="207"/>
      <c r="C24" s="208"/>
      <c r="D24" s="210"/>
      <c r="E24" s="210"/>
      <c r="F24" s="208"/>
      <c r="G24" s="210"/>
      <c r="H24" s="210"/>
      <c r="I24" s="208"/>
      <c r="J24" s="210"/>
      <c r="K24" s="210"/>
      <c r="L24" s="208"/>
      <c r="M24" s="210"/>
      <c r="N24" s="210"/>
      <c r="O24" s="208"/>
      <c r="P24" s="208"/>
      <c r="Q24" s="210"/>
      <c r="R24" s="210"/>
    </row>
    <row r="25" spans="1:19" ht="14.45">
      <c r="A25" s="215" t="s">
        <v>279</v>
      </c>
      <c r="B25" s="216"/>
      <c r="C25" s="217"/>
      <c r="D25" s="217"/>
      <c r="E25" s="216"/>
      <c r="F25" s="217"/>
      <c r="G25" s="216"/>
      <c r="H25" s="216"/>
      <c r="I25" s="217"/>
      <c r="J25" s="216"/>
      <c r="K25" s="217"/>
      <c r="L25" s="217"/>
      <c r="M25" s="217"/>
      <c r="N25" s="217"/>
      <c r="O25" s="217"/>
      <c r="P25" s="217"/>
      <c r="Q25" s="217"/>
      <c r="R25" s="217"/>
    </row>
    <row r="26" spans="1:19" ht="14.45">
      <c r="A26" s="218" t="s">
        <v>294</v>
      </c>
      <c r="B26" s="202"/>
      <c r="D26" s="219">
        <f ca="1">AVERAGE($Q$23:$R$23)</f>
        <v>93.215556305549597</v>
      </c>
      <c r="E26" s="202"/>
      <c r="H26" s="220"/>
      <c r="J26" s="202"/>
    </row>
    <row r="27" spans="1:19" ht="14.45">
      <c r="A27" s="218" t="s">
        <v>295</v>
      </c>
      <c r="B27" s="202"/>
      <c r="D27" s="221">
        <f ca="1">AVERAGE($D$21:$E$21)</f>
        <v>108.05142379034548</v>
      </c>
      <c r="E27" s="202"/>
      <c r="J27" s="202"/>
    </row>
    <row r="28" spans="1:19" ht="8.1" customHeight="1">
      <c r="A28" s="202"/>
      <c r="B28" s="222"/>
      <c r="D28" s="223"/>
      <c r="E28" s="223"/>
      <c r="G28" s="223"/>
      <c r="H28" s="223"/>
      <c r="J28" s="223"/>
      <c r="K28" s="223"/>
      <c r="M28" s="223"/>
      <c r="N28" s="223"/>
      <c r="Q28" s="223"/>
      <c r="R28" s="223"/>
    </row>
    <row r="29" spans="1:19" ht="14.45">
      <c r="A29" s="218" t="s">
        <v>296</v>
      </c>
      <c r="B29" s="202"/>
      <c r="D29" s="224">
        <f ca="1">AVERAGE(D27,D26)</f>
        <v>100.63349004794753</v>
      </c>
      <c r="E29" s="202"/>
      <c r="J29" s="202"/>
    </row>
    <row r="30" spans="1:19" ht="14.45">
      <c r="A30" s="218" t="s">
        <v>297</v>
      </c>
      <c r="B30" s="202"/>
      <c r="D30" s="450">
        <f ca="1">Financials!J11</f>
        <v>51863</v>
      </c>
      <c r="E30" s="202"/>
      <c r="J30" s="202">
        <f>360000/2862</f>
        <v>125.78616352201257</v>
      </c>
    </row>
    <row r="31" spans="1:19" ht="14.45">
      <c r="A31" s="218" t="s">
        <v>298</v>
      </c>
      <c r="B31" s="202"/>
      <c r="D31" s="451">
        <f ca="1">D29*D30</f>
        <v>5219154.6943567032</v>
      </c>
      <c r="E31" s="202"/>
      <c r="J31" s="202"/>
    </row>
    <row r="32" spans="1:19" ht="14.45">
      <c r="A32" s="452" t="s">
        <v>299</v>
      </c>
      <c r="B32" s="202"/>
      <c r="D32" s="450">
        <f ca="1">Financials!J200+Financials!J205+Financials!J210</f>
        <v>0</v>
      </c>
      <c r="E32" s="202"/>
      <c r="J32" s="202"/>
    </row>
    <row r="33" spans="1:18" ht="14.45">
      <c r="A33" s="452" t="s">
        <v>300</v>
      </c>
      <c r="B33" s="202"/>
      <c r="D33" s="450">
        <f ca="1">Financials!J52</f>
        <v>210462.66571362031</v>
      </c>
      <c r="E33" s="202"/>
      <c r="J33" s="202"/>
    </row>
    <row r="34" spans="1:18" ht="14.45">
      <c r="A34" s="452" t="s">
        <v>301</v>
      </c>
      <c r="B34" s="202"/>
      <c r="D34" s="450">
        <f ca="1">D31-D32+D33</f>
        <v>5429617.3600703236</v>
      </c>
      <c r="E34" s="202"/>
      <c r="J34" s="202"/>
    </row>
    <row r="35" spans="1:18" ht="15" customHeight="1">
      <c r="A35" s="202"/>
      <c r="B35" s="222"/>
      <c r="D35" s="223"/>
      <c r="E35" s="223"/>
      <c r="G35" s="223"/>
      <c r="H35" s="223"/>
      <c r="J35" s="223"/>
      <c r="K35" s="223"/>
      <c r="M35" s="223"/>
      <c r="N35" s="223"/>
      <c r="Q35" s="223"/>
      <c r="R35" s="223"/>
    </row>
    <row r="36" spans="1:18" ht="14.45">
      <c r="A36" s="252" t="s">
        <v>302</v>
      </c>
      <c r="B36" s="213"/>
      <c r="C36" s="214"/>
      <c r="D36" s="253">
        <f ca="1">D31/Assumptions!B25</f>
        <v>38.9809148880178</v>
      </c>
      <c r="E36" s="213"/>
      <c r="F36" s="214"/>
      <c r="G36" s="214"/>
      <c r="H36" s="214"/>
      <c r="I36" s="214"/>
      <c r="J36" s="213"/>
      <c r="K36" s="213"/>
      <c r="L36" s="214"/>
      <c r="M36" s="213"/>
      <c r="N36" s="213"/>
      <c r="O36" s="214"/>
      <c r="P36" s="214"/>
      <c r="Q36" s="213"/>
      <c r="R36" s="213"/>
    </row>
    <row r="37" spans="1:18" ht="14.45">
      <c r="A37" s="206"/>
      <c r="B37" s="202"/>
      <c r="E37" s="203"/>
      <c r="J37" s="202"/>
      <c r="K37" s="202"/>
      <c r="M37" s="202"/>
      <c r="N37" s="202"/>
      <c r="Q37" s="202"/>
      <c r="R37" s="202"/>
    </row>
    <row r="38" spans="1:18" ht="14.45">
      <c r="A38" s="254" t="s">
        <v>285</v>
      </c>
      <c r="B38" s="255"/>
      <c r="C38" s="255"/>
      <c r="D38" s="255"/>
      <c r="E38" s="255"/>
      <c r="F38" s="255"/>
      <c r="G38" s="255"/>
      <c r="H38" s="255"/>
      <c r="I38" s="255"/>
      <c r="J38" s="255"/>
      <c r="K38" s="255"/>
      <c r="L38" s="255"/>
      <c r="M38" s="255"/>
      <c r="N38" s="255"/>
      <c r="O38" s="255"/>
      <c r="P38" s="255"/>
      <c r="Q38" s="255"/>
      <c r="R38" s="255"/>
    </row>
    <row r="39" spans="1:18" ht="14.45">
      <c r="A39" s="257" t="s">
        <v>303</v>
      </c>
    </row>
    <row r="40" spans="1:18" ht="14.45">
      <c r="A40" s="257" t="s">
        <v>287</v>
      </c>
    </row>
    <row r="41" spans="1:18" ht="14.45">
      <c r="A41" s="258" t="s">
        <v>288</v>
      </c>
      <c r="B41" s="256"/>
      <c r="C41" s="256"/>
      <c r="D41" s="256"/>
      <c r="E41" s="256"/>
      <c r="F41" s="256"/>
      <c r="G41" s="256"/>
      <c r="H41" s="256"/>
      <c r="I41" s="256"/>
      <c r="J41" s="256"/>
      <c r="K41" s="256"/>
      <c r="L41" s="256"/>
      <c r="M41" s="256"/>
      <c r="N41" s="256"/>
      <c r="O41" s="256"/>
      <c r="P41" s="256"/>
      <c r="Q41" s="256"/>
      <c r="R41" s="256"/>
    </row>
  </sheetData>
  <mergeCells count="32">
    <mergeCell ref="D23:E23"/>
    <mergeCell ref="G23:H23"/>
    <mergeCell ref="J23:K23"/>
    <mergeCell ref="M23:N23"/>
    <mergeCell ref="D15:E15"/>
    <mergeCell ref="G15:H15"/>
    <mergeCell ref="J15:K15"/>
    <mergeCell ref="M15:N15"/>
    <mergeCell ref="Q15:R15"/>
    <mergeCell ref="A17:A21"/>
    <mergeCell ref="Q13:R13"/>
    <mergeCell ref="D14:E14"/>
    <mergeCell ref="G14:H14"/>
    <mergeCell ref="J14:K14"/>
    <mergeCell ref="M14:N14"/>
    <mergeCell ref="Q14:R14"/>
    <mergeCell ref="A12:A15"/>
    <mergeCell ref="D12:E12"/>
    <mergeCell ref="G12:H12"/>
    <mergeCell ref="J12:K12"/>
    <mergeCell ref="M12:N12"/>
    <mergeCell ref="Q12:R12"/>
    <mergeCell ref="D13:E13"/>
    <mergeCell ref="G13:H13"/>
    <mergeCell ref="Q3:R3"/>
    <mergeCell ref="A7:A10"/>
    <mergeCell ref="J13:K13"/>
    <mergeCell ref="M13:N13"/>
    <mergeCell ref="D3:E3"/>
    <mergeCell ref="G3:H3"/>
    <mergeCell ref="J3:K3"/>
    <mergeCell ref="M3:N3"/>
  </mergeCells>
  <phoneticPr fontId="1" type="noConversion"/>
  <printOptions horizontalCentered="1"/>
  <pageMargins left="0.7" right="0.7" top="0.75" bottom="0.75" header="0.3" footer="0.3"/>
  <pageSetup scale="83" orientation="landscape"/>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F8855-7FF5-4879-85EA-E9439FFB76B7}">
  <sheetPr>
    <tabColor theme="9"/>
    <pageSetUpPr fitToPage="1"/>
  </sheetPr>
  <dimension ref="A1:U41"/>
  <sheetViews>
    <sheetView showGridLines="0" zoomScale="83" workbookViewId="0">
      <pane xSplit="2" ySplit="5" topLeftCell="C6" activePane="bottomRight" state="frozen"/>
      <selection pane="bottomRight" activeCell="M24" sqref="M24"/>
      <selection pane="bottomLeft" activeCell="A6" sqref="A6"/>
      <selection pane="topRight" activeCell="C1" sqref="C1"/>
    </sheetView>
  </sheetViews>
  <sheetFormatPr defaultColWidth="8.85546875" defaultRowHeight="15" customHeight="1"/>
  <cols>
    <col min="1" max="1" width="28.140625" customWidth="1"/>
    <col min="2" max="2" width="8.140625" customWidth="1"/>
    <col min="3" max="3" width="1.140625" customWidth="1"/>
    <col min="4" max="4" width="14.85546875" bestFit="1" customWidth="1"/>
    <col min="5" max="5" width="14" bestFit="1" customWidth="1"/>
    <col min="6" max="6" width="1.140625" customWidth="1"/>
    <col min="7" max="8" width="14.42578125" bestFit="1" customWidth="1"/>
    <col min="9" max="9" width="1.140625" customWidth="1"/>
    <col min="10" max="10" width="12" bestFit="1" customWidth="1"/>
    <col min="11" max="11" width="12.42578125" bestFit="1" customWidth="1"/>
    <col min="12" max="12" width="1.140625" customWidth="1"/>
    <col min="13" max="13" width="13.7109375" customWidth="1"/>
    <col min="14" max="14" width="13.42578125" bestFit="1" customWidth="1"/>
    <col min="15" max="15" width="1.140625" customWidth="1"/>
    <col min="16" max="16" width="1.28515625" customWidth="1"/>
    <col min="17" max="17" width="14.85546875" customWidth="1"/>
    <col min="18" max="18" width="12.85546875" bestFit="1" customWidth="1"/>
  </cols>
  <sheetData>
    <row r="1" spans="1:21" ht="26.1" customHeight="1">
      <c r="A1" s="204" t="s">
        <v>289</v>
      </c>
      <c r="B1" s="205"/>
      <c r="C1" s="205"/>
      <c r="D1" s="205"/>
      <c r="E1" s="205"/>
      <c r="F1" s="205"/>
      <c r="G1" s="205"/>
      <c r="H1" s="205"/>
      <c r="I1" s="205"/>
      <c r="J1" s="205"/>
      <c r="K1" s="205"/>
      <c r="L1" s="205"/>
      <c r="M1" s="205"/>
      <c r="N1" s="205"/>
      <c r="O1" s="205"/>
      <c r="P1" s="205"/>
      <c r="Q1" s="205"/>
      <c r="R1" s="205"/>
    </row>
    <row r="2" spans="1:21" ht="8.1" customHeight="1">
      <c r="A2" s="209"/>
      <c r="B2" s="207"/>
      <c r="C2" s="208"/>
      <c r="D2" s="210"/>
      <c r="E2" s="210"/>
      <c r="F2" s="208"/>
      <c r="G2" s="210"/>
      <c r="H2" s="210"/>
      <c r="I2" s="208"/>
      <c r="J2" s="210"/>
      <c r="K2" s="210"/>
      <c r="L2" s="208"/>
      <c r="M2" s="210"/>
      <c r="N2" s="210"/>
      <c r="O2" s="208"/>
      <c r="P2" s="208"/>
      <c r="Q2" s="210"/>
      <c r="R2" s="210"/>
    </row>
    <row r="3" spans="1:21" ht="14.45" customHeight="1">
      <c r="A3" s="250" t="s">
        <v>268</v>
      </c>
      <c r="B3" s="251"/>
      <c r="C3" s="249"/>
      <c r="D3" s="533" t="str">
        <f>Comp_Name</f>
        <v>Nu Scale</v>
      </c>
      <c r="E3" s="533"/>
      <c r="F3" s="249"/>
      <c r="G3" s="534" t="s">
        <v>269</v>
      </c>
      <c r="H3" s="534"/>
      <c r="I3" s="249"/>
      <c r="J3" s="534" t="s">
        <v>270</v>
      </c>
      <c r="K3" s="534"/>
      <c r="L3" s="249"/>
      <c r="M3" s="534" t="s">
        <v>271</v>
      </c>
      <c r="N3" s="534"/>
      <c r="O3" s="249"/>
      <c r="P3" s="249"/>
      <c r="Q3" s="536" t="s">
        <v>272</v>
      </c>
      <c r="R3" s="536"/>
    </row>
    <row r="4" spans="1:21" ht="8.1" customHeight="1">
      <c r="A4" s="209"/>
      <c r="B4" s="207"/>
      <c r="C4" s="208"/>
      <c r="D4" s="210"/>
      <c r="E4" s="210"/>
      <c r="F4" s="208"/>
      <c r="G4" s="210"/>
      <c r="H4" s="210"/>
      <c r="I4" s="208"/>
      <c r="J4" s="210"/>
      <c r="K4" s="210"/>
      <c r="L4" s="208"/>
      <c r="M4" s="210"/>
      <c r="N4" s="210"/>
      <c r="O4" s="208"/>
      <c r="P4" s="208"/>
      <c r="Q4" s="210"/>
      <c r="R4" s="210"/>
    </row>
    <row r="5" spans="1:21" ht="14.45">
      <c r="A5" s="246"/>
      <c r="B5" s="247" t="s">
        <v>273</v>
      </c>
      <c r="C5" s="248"/>
      <c r="D5" s="247" t="s">
        <v>35</v>
      </c>
      <c r="E5" s="247" t="s">
        <v>37</v>
      </c>
      <c r="F5" s="248"/>
      <c r="G5" s="247" t="s">
        <v>35</v>
      </c>
      <c r="H5" s="247" t="s">
        <v>37</v>
      </c>
      <c r="I5" s="248"/>
      <c r="J5" s="247" t="s">
        <v>35</v>
      </c>
      <c r="K5" s="247" t="s">
        <v>37</v>
      </c>
      <c r="L5" s="248"/>
      <c r="M5" s="247" t="s">
        <v>35</v>
      </c>
      <c r="N5" s="247" t="s">
        <v>37</v>
      </c>
      <c r="O5" s="248"/>
      <c r="P5" s="248"/>
      <c r="Q5" s="247" t="s">
        <v>35</v>
      </c>
      <c r="R5" s="247" t="s">
        <v>37</v>
      </c>
    </row>
    <row r="6" spans="1:21" ht="8.1" customHeight="1">
      <c r="A6" s="209"/>
      <c r="B6" s="207"/>
      <c r="C6" s="208"/>
      <c r="D6" s="210"/>
      <c r="E6" s="210"/>
      <c r="F6" s="208"/>
      <c r="G6" s="210"/>
      <c r="H6" s="210"/>
      <c r="I6" s="208"/>
      <c r="J6" s="210"/>
      <c r="K6" s="210"/>
      <c r="L6" s="208"/>
      <c r="M6" s="506"/>
      <c r="N6" s="210"/>
      <c r="O6" s="208"/>
      <c r="P6" s="208"/>
      <c r="Q6" s="210"/>
      <c r="R6" s="210"/>
    </row>
    <row r="7" spans="1:21" ht="14.45">
      <c r="A7" s="530" t="s">
        <v>304</v>
      </c>
      <c r="B7" s="441" cm="1">
        <f t="array" aca="1" ref="B7" ca="1">INDEX(Annual_Periods,1)</f>
        <v>44560</v>
      </c>
      <c r="C7" s="226"/>
      <c r="D7" s="501">
        <v>244909.69999999998</v>
      </c>
      <c r="E7" s="501">
        <v>1030960</v>
      </c>
      <c r="F7" s="228"/>
      <c r="G7" s="504">
        <v>719133.9</v>
      </c>
      <c r="H7" s="504">
        <v>9111575.0999999996</v>
      </c>
      <c r="I7" s="228"/>
      <c r="J7" s="504">
        <v>287919</v>
      </c>
      <c r="K7" s="504">
        <v>1393447.4</v>
      </c>
      <c r="L7" s="228"/>
      <c r="M7" s="504">
        <v>584309</v>
      </c>
      <c r="N7" s="504">
        <v>2613261</v>
      </c>
      <c r="O7" s="228"/>
      <c r="P7" s="157"/>
      <c r="Q7" s="211">
        <f>AVERAGE(D7, G7, J7, M7)</f>
        <v>459067.9</v>
      </c>
      <c r="R7" s="211">
        <f>AVERAGE(E7, H7, K7, N7)</f>
        <v>3537310.875</v>
      </c>
      <c r="T7" s="505"/>
      <c r="U7" s="505"/>
    </row>
    <row r="8" spans="1:21" ht="14.45">
      <c r="A8" s="531"/>
      <c r="B8" s="442">
        <f ca="1">EOMONTH(B7,12)</f>
        <v>44926</v>
      </c>
      <c r="C8" s="229"/>
      <c r="D8" s="502">
        <v>271110</v>
      </c>
      <c r="E8" s="502">
        <v>3302340</v>
      </c>
      <c r="F8" s="231"/>
      <c r="G8" s="502">
        <v>841910.5</v>
      </c>
      <c r="H8" s="502">
        <v>3849752</v>
      </c>
      <c r="I8" s="231"/>
      <c r="J8" s="502">
        <v>68051.199999999997</v>
      </c>
      <c r="K8" s="502">
        <v>415183.2</v>
      </c>
      <c r="L8" s="231"/>
      <c r="M8" s="502">
        <v>14219.99</v>
      </c>
      <c r="N8" s="502">
        <v>719820</v>
      </c>
      <c r="O8" s="231"/>
      <c r="P8" s="157"/>
      <c r="Q8" s="211">
        <f t="shared" ref="Q8:Q10" si="0">AVERAGE(D8, G8, J8, M8)</f>
        <v>298822.92249999999</v>
      </c>
      <c r="R8" s="211">
        <f t="shared" ref="R8:R10" si="1">AVERAGE(E8, H8, K8, N8)</f>
        <v>2071773.8</v>
      </c>
      <c r="T8" s="505"/>
      <c r="U8" s="505"/>
    </row>
    <row r="9" spans="1:21" ht="14.45">
      <c r="A9" s="531"/>
      <c r="B9" s="442">
        <f ca="1">EOMONTH(B8,12)</f>
        <v>45291</v>
      </c>
      <c r="C9" s="229"/>
      <c r="D9" s="502">
        <v>437770</v>
      </c>
      <c r="E9" s="502">
        <v>2441900</v>
      </c>
      <c r="F9" s="231"/>
      <c r="G9" s="502">
        <v>189037.4</v>
      </c>
      <c r="H9" s="502">
        <v>1444709.1</v>
      </c>
      <c r="I9" s="231"/>
      <c r="J9" s="502">
        <v>269035.2</v>
      </c>
      <c r="K9" s="502">
        <v>803856.7</v>
      </c>
      <c r="L9" s="231"/>
      <c r="M9" s="502">
        <v>-124089.9</v>
      </c>
      <c r="N9" s="502">
        <v>366241</v>
      </c>
      <c r="O9" s="231"/>
      <c r="P9" s="157"/>
      <c r="Q9" s="211">
        <f t="shared" si="0"/>
        <v>192938.17500000002</v>
      </c>
      <c r="R9" s="211">
        <f t="shared" si="1"/>
        <v>1264176.7</v>
      </c>
      <c r="T9" s="505"/>
      <c r="U9" s="505"/>
    </row>
    <row r="10" spans="1:21" ht="14.45">
      <c r="A10" s="532"/>
      <c r="B10" s="443">
        <f ca="1">EOMONTH(B9,12)</f>
        <v>45657</v>
      </c>
      <c r="C10" s="232"/>
      <c r="D10" s="503">
        <v>359700</v>
      </c>
      <c r="E10" s="503">
        <v>7493900</v>
      </c>
      <c r="F10" s="234"/>
      <c r="G10" s="503">
        <v>45265.3</v>
      </c>
      <c r="H10" s="503">
        <v>671720.6</v>
      </c>
      <c r="I10" s="234"/>
      <c r="J10" s="503">
        <v>270284.2</v>
      </c>
      <c r="K10" s="503">
        <v>1793949.1</v>
      </c>
      <c r="L10" s="234"/>
      <c r="M10" s="503">
        <v>-680.32</v>
      </c>
      <c r="N10" s="503">
        <v>522706.19999999995</v>
      </c>
      <c r="O10" s="234"/>
      <c r="P10" s="157"/>
      <c r="Q10" s="211">
        <f t="shared" si="0"/>
        <v>168642.29500000001</v>
      </c>
      <c r="R10" s="211">
        <f t="shared" si="1"/>
        <v>2620568.9749999996</v>
      </c>
      <c r="T10" s="505"/>
      <c r="U10" s="505"/>
    </row>
    <row r="11" spans="1:21" ht="8.1" customHeight="1">
      <c r="A11" s="209"/>
      <c r="B11" s="444"/>
      <c r="C11" s="208"/>
      <c r="D11" s="210"/>
      <c r="E11" s="210"/>
      <c r="F11" s="208"/>
      <c r="G11" s="210"/>
      <c r="H11" s="210"/>
      <c r="I11" s="208"/>
      <c r="J11" s="210"/>
      <c r="K11" s="210"/>
      <c r="L11" s="208"/>
      <c r="M11" s="210"/>
      <c r="N11" s="210"/>
      <c r="O11" s="208"/>
      <c r="P11" s="208"/>
      <c r="Q11" s="212"/>
      <c r="R11" s="212"/>
    </row>
    <row r="12" spans="1:21" ht="14.45" customHeight="1">
      <c r="A12" s="526" t="s">
        <v>291</v>
      </c>
      <c r="B12" s="441">
        <f ca="1">B7</f>
        <v>44560</v>
      </c>
      <c r="C12" s="226"/>
      <c r="D12" s="540">
        <f ca="1">Financials!F11</f>
        <v>2862</v>
      </c>
      <c r="E12" s="540"/>
      <c r="F12" s="226"/>
      <c r="G12" s="541">
        <v>69585</v>
      </c>
      <c r="H12" s="541"/>
      <c r="I12" s="447"/>
      <c r="J12" s="541">
        <v>4598</v>
      </c>
      <c r="K12" s="541"/>
      <c r="L12" s="447"/>
      <c r="M12" s="541">
        <v>200</v>
      </c>
      <c r="N12" s="541"/>
      <c r="O12" s="447"/>
      <c r="P12" s="208"/>
      <c r="Q12" s="521">
        <f ca="1">AVERAGE(D12, G12, J12, M12)</f>
        <v>19311.25</v>
      </c>
      <c r="R12" s="521"/>
    </row>
    <row r="13" spans="1:21" ht="14.45" customHeight="1">
      <c r="A13" s="527"/>
      <c r="B13" s="442">
        <f ca="1">B8</f>
        <v>44926</v>
      </c>
      <c r="C13" s="229"/>
      <c r="D13" s="539">
        <f ca="1">Financials!G11</f>
        <v>11804</v>
      </c>
      <c r="E13" s="539"/>
      <c r="F13" s="229"/>
      <c r="G13" s="538">
        <v>130484</v>
      </c>
      <c r="H13" s="538"/>
      <c r="I13" s="448"/>
      <c r="J13" s="538">
        <v>17924</v>
      </c>
      <c r="K13" s="538"/>
      <c r="L13" s="448"/>
      <c r="M13" s="538">
        <v>2106</v>
      </c>
      <c r="N13" s="538"/>
      <c r="O13" s="448"/>
      <c r="P13" s="208"/>
      <c r="Q13" s="521">
        <f ca="1">AVERAGE(D13, G13, J13, M13)</f>
        <v>40579.5</v>
      </c>
      <c r="R13" s="521"/>
    </row>
    <row r="14" spans="1:21" ht="14.45" customHeight="1">
      <c r="A14" s="527"/>
      <c r="B14" s="442">
        <f ca="1">B9</f>
        <v>45291</v>
      </c>
      <c r="C14" s="229"/>
      <c r="D14" s="539">
        <f ca="1">Financials!H11</f>
        <v>22810</v>
      </c>
      <c r="E14" s="539"/>
      <c r="F14" s="229"/>
      <c r="G14" s="538">
        <v>123394</v>
      </c>
      <c r="H14" s="538"/>
      <c r="I14" s="448"/>
      <c r="J14" s="538">
        <v>16378</v>
      </c>
      <c r="K14" s="538"/>
      <c r="L14" s="448"/>
      <c r="M14" s="538">
        <v>672</v>
      </c>
      <c r="N14" s="538"/>
      <c r="O14" s="448"/>
      <c r="P14" s="208"/>
      <c r="Q14" s="521">
        <f ca="1">AVERAGE(D14, G14, J14, M14)</f>
        <v>40813.5</v>
      </c>
      <c r="R14" s="521"/>
    </row>
    <row r="15" spans="1:21" ht="14.45" customHeight="1">
      <c r="A15" s="528"/>
      <c r="B15" s="443">
        <f ca="1">B10</f>
        <v>45657</v>
      </c>
      <c r="C15" s="232"/>
      <c r="D15" s="542">
        <f ca="1">Financials!I11</f>
        <v>37045</v>
      </c>
      <c r="E15" s="542"/>
      <c r="F15" s="232"/>
      <c r="G15" s="543">
        <v>112132</v>
      </c>
      <c r="H15" s="543"/>
      <c r="I15" s="449"/>
      <c r="J15" s="543">
        <v>15606</v>
      </c>
      <c r="K15" s="543"/>
      <c r="L15" s="449"/>
      <c r="M15" s="543">
        <v>1509</v>
      </c>
      <c r="N15" s="543"/>
      <c r="O15" s="449"/>
      <c r="P15" s="208"/>
      <c r="Q15" s="521">
        <f ca="1">AVERAGE(D15, G15, J15, M15)</f>
        <v>41573</v>
      </c>
      <c r="R15" s="521"/>
    </row>
    <row r="16" spans="1:21" ht="8.1" customHeight="1">
      <c r="A16" s="209"/>
      <c r="B16" s="444"/>
      <c r="C16" s="208"/>
      <c r="D16" s="210"/>
      <c r="E16" s="210"/>
      <c r="F16" s="208"/>
      <c r="G16" s="210"/>
      <c r="H16" s="210"/>
      <c r="I16" s="208"/>
      <c r="J16" s="210"/>
      <c r="K16" s="210"/>
      <c r="L16" s="208"/>
      <c r="M16" s="210"/>
      <c r="N16" s="210"/>
      <c r="O16" s="208"/>
      <c r="P16" s="208"/>
      <c r="Q16" s="210"/>
      <c r="R16" s="210"/>
    </row>
    <row r="17" spans="1:19" ht="14.45">
      <c r="A17" s="523" t="s">
        <v>292</v>
      </c>
      <c r="B17" s="441">
        <f ca="1">B7</f>
        <v>44560</v>
      </c>
      <c r="C17" s="226"/>
      <c r="D17" s="235">
        <f ca="1">IFERROR(IF(INDEX(D$7:D$10,MATCH($B17,$B$7:$B$10,0))/INDEX(D$12:D$15,MATCH($B17,$B$12:$B$15,0))&lt;0,"NM",INDEX(D$7:D$10,MATCH($B17,$B$7:$B$10,0))/INDEX(D$12:D$15,MATCH($B17,$B$12:$B$15,0))),"NA")</f>
        <v>85.572921034241787</v>
      </c>
      <c r="E17" s="235">
        <f ca="1">IFERROR(IF(INDEX(E$7:E$10,MATCH($B17,$B$7:$B$10,0))/INDEX(D$12:D$15,MATCH($B17,$B$12:$B$15,0))&lt;0,"NM",INDEX(E$7:E$10,MATCH($B17,$B$7:$B$10,0))/INDEX(D$12:D$15,MATCH($B17,$B$12:$B$15,0))),"NA")</f>
        <v>360.22361984626133</v>
      </c>
      <c r="F17" s="236"/>
      <c r="G17" s="235">
        <f ca="1">IFERROR(IF(INDEX(G$7:G$10,MATCH($B17,$B$7:$B$10,0))/INDEX(G$12:G$15,MATCH($B17,$B$12:$B$15,0))&lt;0,"NM",INDEX(G$7:G$10,MATCH($B17,$B$7:$B$10,0))/INDEX(G$12:G$15,MATCH($B17,$B$12:$B$15,0))),"NA")</f>
        <v>10.334610907523173</v>
      </c>
      <c r="H17" s="235">
        <f ca="1">IFERROR(IF(INDEX(H$7:H$10,MATCH($B17,$B$7:$B$10,0))/INDEX(G$12:G$15,MATCH($B17,$B$12:$B$15,0))&lt;0,"NM",INDEX(H$7:H$10,MATCH($B17,$B$7:$B$10,0))/INDEX(G$12:G$15,MATCH($B17,$B$12:$B$15,0))),"NA")</f>
        <v>130.94165552920887</v>
      </c>
      <c r="I17" s="236"/>
      <c r="J17" s="235">
        <f ca="1">IFERROR(IF(INDEX(J$7:J$10,MATCH($B17,$B$7:$B$10,0))/INDEX(J$12:J$15,MATCH($B17,$B$12:$B$15,0))&lt;0,"NM",INDEX(J$7:J$10,MATCH($B17,$B$7:$B$10,0))/INDEX(J$12:J$15,MATCH($B17,$B$12:$B$15,0))),"NA")</f>
        <v>62.618312309699867</v>
      </c>
      <c r="K17" s="235">
        <f ca="1">IFERROR(IF(INDEX(K$7:K$10,MATCH($B17,$B$7:$B$10,0))/INDEX(J$12:J$15,MATCH($B17,$B$12:$B$15,0))&lt;0,"NM",INDEX(K$7:K$10,MATCH($B17,$B$7:$B$10,0))/INDEX(J$12:J$15,MATCH($B17,$B$12:$B$15,0))),"NA")</f>
        <v>303.05511091779033</v>
      </c>
      <c r="L17" s="236"/>
      <c r="M17" s="235" t="s">
        <v>293</v>
      </c>
      <c r="N17" s="235" t="s">
        <v>293</v>
      </c>
      <c r="O17" s="236"/>
      <c r="P17" s="486"/>
      <c r="Q17" s="242">
        <f ca="1">IFERROR(AVERAGE(G17,J17,M17),"NA")</f>
        <v>36.476461608611523</v>
      </c>
      <c r="R17" s="243">
        <f ca="1">IFERROR(AVERAGE(H17,K17,N17),"NA")</f>
        <v>216.99838322349962</v>
      </c>
    </row>
    <row r="18" spans="1:19" ht="14.45">
      <c r="A18" s="524"/>
      <c r="B18" s="442">
        <f ca="1">B8</f>
        <v>44926</v>
      </c>
      <c r="C18" s="229"/>
      <c r="D18" s="237">
        <f ca="1">IFERROR(IF(INDEX(D$7:D$10,MATCH($B18,$B$7:$B$10,0))/INDEX(D$12:D$15,MATCH($B18,$B$12:$B$15,0))&lt;0,"NM",INDEX(D$7:D$10,MATCH($B18,$B$7:$B$10,0))/INDEX(D$12:D$15,MATCH($B18,$B$12:$B$15,0))),"NA")</f>
        <v>22.967638088783463</v>
      </c>
      <c r="E18" s="237">
        <f t="shared" ref="E18:E20" ca="1" si="2">IFERROR(IF(INDEX(E$7:E$10,MATCH($B18,$B$7:$B$10,0))/INDEX(D$12:D$15,MATCH($B18,$B$12:$B$15,0))&lt;0,"NM",INDEX(E$7:E$10,MATCH($B18,$B$7:$B$10,0))/INDEX(D$12:D$15,MATCH($B18,$B$12:$B$15,0))),"NA")</f>
        <v>279.76448661470687</v>
      </c>
      <c r="F18" s="238"/>
      <c r="G18" s="237">
        <f t="shared" ref="G18:G20" ca="1" si="3">IFERROR(IF(INDEX(G$7:G$10,MATCH($B18,$B$7:$B$10,0))/INDEX(G$12:G$15,MATCH($B18,$B$12:$B$15,0))&lt;0,"NM",INDEX(G$7:G$10,MATCH($B18,$B$7:$B$10,0))/INDEX(G$12:G$15,MATCH($B18,$B$12:$B$15,0))),"NA")</f>
        <v>6.4522125318046655</v>
      </c>
      <c r="H18" s="237">
        <f t="shared" ref="H18:H20" ca="1" si="4">IFERROR(IF(INDEX(H$7:H$10,MATCH($B18,$B$7:$B$10,0))/INDEX(G$12:G$15,MATCH($B18,$B$12:$B$15,0))&lt;0,"NM",INDEX(H$7:H$10,MATCH($B18,$B$7:$B$10,0))/INDEX(G$12:G$15,MATCH($B18,$B$12:$B$15,0))),"NA")</f>
        <v>29.503632629287882</v>
      </c>
      <c r="I18" s="238"/>
      <c r="J18" s="237">
        <f ca="1">IFERROR(IF(INDEX(J$7:J$10,MATCH($B18,$B$7:$B$10,0))/INDEX(J$12:J$15,MATCH($B18,$B$12:$B$15,0))&lt;0,"NM",INDEX(J$7:J$10,MATCH($B18,$B$7:$B$10,0))/INDEX(J$12:J$15,MATCH($B18,$B$12:$B$15,0))),"NA")</f>
        <v>3.7966525329167595</v>
      </c>
      <c r="K18" s="237">
        <f ca="1">IFERROR(IF(INDEX(K$7:K$10,MATCH($B18,$B$7:$B$10,0))/INDEX(J$12:J$15,MATCH($B18,$B$12:$B$15,0))&lt;0,"NM",INDEX(K$7:K$10,MATCH($B18,$B$7:$B$10,0))/INDEX(J$12:J$15,MATCH($B18,$B$12:$B$15,0))),"NA")</f>
        <v>23.163534925239901</v>
      </c>
      <c r="L18" s="238"/>
      <c r="M18" s="237">
        <f t="shared" ref="M18:M20" ca="1" si="5">IFERROR(IF(INDEX(M$7:M$10,MATCH($B18,$B$7:$B$10,0))/INDEX(M$12:M$15,MATCH($B18,$B$12:$B$15,0))&lt;0,"NM",INDEX(M$7:M$10,MATCH($B18,$B$7:$B$10,0))/INDEX(M$12:M$15,MATCH($B18,$B$12:$B$15,0))),"NA")</f>
        <v>6.7521320037986703</v>
      </c>
      <c r="N18" s="237">
        <f ca="1">IFERROR(IF(INDEX(N$7:N$10,MATCH($B18,$B$7:$B$10,0))/INDEX(M$12:M$15,MATCH($B18,$B$12:$B$15,0))&lt;0,"NM",INDEX(N$7:N$10,MATCH($B18,$B$7:$B$10,0))/INDEX(M$12:M$15,MATCH($B18,$B$12:$B$15,0))),"NA")</f>
        <v>341.79487179487177</v>
      </c>
      <c r="O18" s="238"/>
      <c r="P18" s="486"/>
      <c r="Q18" s="242">
        <f t="shared" ref="Q18:Q20" ca="1" si="6">IFERROR(AVERAGE(G18,J18,M18),"NA")</f>
        <v>5.6669990228400318</v>
      </c>
      <c r="R18" s="243">
        <f t="shared" ref="R18:R20" ca="1" si="7">IFERROR(AVERAGE(H18,K18,N18),"NA")</f>
        <v>131.48734644979984</v>
      </c>
    </row>
    <row r="19" spans="1:19" ht="14.45">
      <c r="A19" s="524"/>
      <c r="B19" s="442">
        <f ca="1">B9</f>
        <v>45291</v>
      </c>
      <c r="C19" s="229"/>
      <c r="D19" s="237">
        <f t="shared" ref="D19:D20" ca="1" si="8">IFERROR(IF(INDEX(D$7:D$10,MATCH($B19,$B$7:$B$10,0))/INDEX(D$12:D$15,MATCH($B19,$B$12:$B$15,0))&lt;0,"NM",INDEX(D$7:D$10,MATCH($B19,$B$7:$B$10,0))/INDEX(D$12:D$15,MATCH($B19,$B$12:$B$15,0))),"NA")</f>
        <v>19.192021043402018</v>
      </c>
      <c r="E19" s="237">
        <f t="shared" ca="1" si="2"/>
        <v>107.05392371766769</v>
      </c>
      <c r="F19" s="238"/>
      <c r="G19" s="237">
        <f t="shared" ca="1" si="3"/>
        <v>1.5319821060991621</v>
      </c>
      <c r="H19" s="237">
        <f t="shared" ca="1" si="4"/>
        <v>11.708098448871096</v>
      </c>
      <c r="I19" s="238"/>
      <c r="J19" s="237">
        <f ca="1">IFERROR(IF(INDEX(J$7:J$10,MATCH($B19,$B$7:$B$10,0))/INDEX(J$12:J$15,MATCH($B19,$B$12:$B$15,0))&lt;0,"NM",INDEX(J$7:J$10,MATCH($B19,$B$7:$B$10,0))/INDEX(J$12:J$15,MATCH($B19,$B$12:$B$15,0))),"NA")</f>
        <v>16.426621077054588</v>
      </c>
      <c r="K19" s="237">
        <f ca="1">IFERROR(IF(INDEX(K$7:K$10,MATCH($B19,$B$7:$B$10,0))/INDEX(J$12:J$15,MATCH($B19,$B$12:$B$15,0))&lt;0,"NM",INDEX(K$7:K$10,MATCH($B19,$B$7:$B$10,0))/INDEX(J$12:J$15,MATCH($B19,$B$12:$B$15,0))),"NA")</f>
        <v>49.081493466845764</v>
      </c>
      <c r="L19" s="238"/>
      <c r="M19" s="237" t="str">
        <f t="shared" ca="1" si="5"/>
        <v>NM</v>
      </c>
      <c r="N19" s="237">
        <f ca="1">IFERROR(IF(INDEX(N$7:N$10,MATCH($B19,$B$7:$B$10,0))/INDEX(M$12:M$15,MATCH($B19,$B$12:$B$15,0))&lt;0,"NM",INDEX(N$7:N$10,MATCH($B19,$B$7:$B$10,0))/INDEX(M$12:M$15,MATCH($B19,$B$12:$B$15,0))),"NA")</f>
        <v>545.00148809523807</v>
      </c>
      <c r="O19" s="238"/>
      <c r="P19" s="486"/>
      <c r="Q19" s="242">
        <f t="shared" ca="1" si="6"/>
        <v>8.9793015915768741</v>
      </c>
      <c r="R19" s="243">
        <f t="shared" ca="1" si="7"/>
        <v>201.93036000365166</v>
      </c>
    </row>
    <row r="20" spans="1:19" ht="14.45">
      <c r="A20" s="524"/>
      <c r="B20" s="442">
        <f ca="1">B10</f>
        <v>45657</v>
      </c>
      <c r="C20" s="229"/>
      <c r="D20" s="237">
        <f t="shared" ca="1" si="8"/>
        <v>9.7098123903360776</v>
      </c>
      <c r="E20" s="237">
        <f t="shared" ca="1" si="2"/>
        <v>202.29180726143878</v>
      </c>
      <c r="F20" s="238"/>
      <c r="G20" s="237">
        <f t="shared" ca="1" si="3"/>
        <v>0.40367870010344953</v>
      </c>
      <c r="H20" s="237">
        <f t="shared" ca="1" si="4"/>
        <v>5.990445189597974</v>
      </c>
      <c r="I20" s="238"/>
      <c r="J20" s="237">
        <f ca="1">IFERROR(IF(INDEX(J$7:J$10,MATCH($B20,$B$7:$B$10,0))/INDEX(J$12:J$15,MATCH($B20,$B$12:$B$15,0))&lt;0,"NM",INDEX(J$7:J$10,MATCH($B20,$B$7:$B$10,0))/INDEX(J$12:J$15,MATCH($B20,$B$12:$B$15,0))),"NA")</f>
        <v>17.319249006792258</v>
      </c>
      <c r="K20" s="237">
        <f ca="1">IFERROR(IF(INDEX(K$7:K$10,MATCH($B20,$B$7:$B$10,0))/INDEX(J$12:J$15,MATCH($B20,$B$12:$B$15,0))&lt;0,"NM",INDEX(K$7:K$10,MATCH($B20,$B$7:$B$10,0))/INDEX(J$12:J$15,MATCH($B20,$B$12:$B$15,0))),"NA")</f>
        <v>114.95252466999872</v>
      </c>
      <c r="L20" s="238"/>
      <c r="M20" s="237" t="str">
        <f t="shared" ca="1" si="5"/>
        <v>NM</v>
      </c>
      <c r="N20" s="237">
        <f ca="1">IFERROR(IF(INDEX(N$7:N$10,MATCH($B20,$B$7:$B$10,0))/INDEX(M$12:M$15,MATCH($B20,$B$12:$B$15,0))&lt;0,"NM",INDEX(N$7:N$10,MATCH($B20,$B$7:$B$10,0))/INDEX(M$12:M$15,MATCH($B20,$B$12:$B$15,0))),"NA")</f>
        <v>346.39244532803178</v>
      </c>
      <c r="O20" s="238"/>
      <c r="P20" s="486"/>
      <c r="Q20" s="242">
        <f t="shared" ca="1" si="6"/>
        <v>8.8614638534478534</v>
      </c>
      <c r="R20" s="243">
        <f t="shared" ca="1" si="7"/>
        <v>155.77847172920949</v>
      </c>
    </row>
    <row r="21" spans="1:19" ht="14.45">
      <c r="A21" s="525"/>
      <c r="B21" s="239" t="s">
        <v>277</v>
      </c>
      <c r="C21" s="232"/>
      <c r="D21" s="240">
        <f ca="1">IFERROR(AVERAGE(D17:D20),"NA")</f>
        <v>34.360598139190834</v>
      </c>
      <c r="E21" s="240">
        <f ca="1">IFERROR(AVERAGE(E17:E20),"NA")</f>
        <v>237.33345936001865</v>
      </c>
      <c r="F21" s="241"/>
      <c r="G21" s="240">
        <f ca="1">IFERROR(AVERAGE(G17:G20),"NA")</f>
        <v>4.6806210613826122</v>
      </c>
      <c r="H21" s="240">
        <f ca="1">IFERROR(AVERAGE(H17:H20),"NA")</f>
        <v>44.535957949241457</v>
      </c>
      <c r="I21" s="507"/>
      <c r="J21" s="240">
        <f ca="1">IFERROR(AVERAGE(J17:J20),"NA")</f>
        <v>25.04020873161587</v>
      </c>
      <c r="K21" s="240">
        <f ca="1">IFERROR(AVERAGE(K17:K20),"NA")</f>
        <v>122.56316599496867</v>
      </c>
      <c r="L21" s="241"/>
      <c r="M21" s="240">
        <f ca="1">IFERROR(AVERAGE(M17:M20),"NA")</f>
        <v>6.7521320037986703</v>
      </c>
      <c r="N21" s="240">
        <f ca="1">IFERROR(AVERAGE(N17:N20),"NA")</f>
        <v>411.06293507271386</v>
      </c>
      <c r="O21" s="241"/>
      <c r="P21" s="486"/>
      <c r="Q21" s="244">
        <f ca="1">IFERROR(AVERAGE(Q17:Q20),"NA")</f>
        <v>14.996056519119071</v>
      </c>
      <c r="R21" s="245">
        <f ca="1">IFERROR(AVERAGE(R17:R20),"NA")</f>
        <v>176.54864035154017</v>
      </c>
    </row>
    <row r="22" spans="1:19" ht="8.1" customHeight="1">
      <c r="A22" s="209"/>
      <c r="B22" s="207"/>
      <c r="C22" s="208"/>
      <c r="D22" s="210"/>
      <c r="E22" s="210"/>
      <c r="F22" s="208"/>
      <c r="G22" s="210"/>
      <c r="H22" s="210"/>
      <c r="I22" s="208"/>
      <c r="J22" s="210"/>
      <c r="K22" s="210"/>
      <c r="L22" s="208"/>
      <c r="M22" s="210"/>
      <c r="N22" s="210"/>
      <c r="O22" s="208"/>
      <c r="P22" s="208"/>
      <c r="Q22" s="210"/>
      <c r="R22" s="210"/>
    </row>
    <row r="23" spans="1:19" ht="14.45" customHeight="1">
      <c r="A23" s="492" t="s">
        <v>278</v>
      </c>
      <c r="B23" s="207"/>
      <c r="C23" s="208"/>
      <c r="D23" s="521"/>
      <c r="E23" s="521"/>
      <c r="F23" s="208"/>
      <c r="G23" s="537">
        <v>0.25</v>
      </c>
      <c r="H23" s="537"/>
      <c r="I23" s="489"/>
      <c r="J23" s="537">
        <v>0</v>
      </c>
      <c r="K23" s="537"/>
      <c r="L23" s="489"/>
      <c r="M23" s="537">
        <v>0.3</v>
      </c>
      <c r="N23" s="537"/>
      <c r="O23" s="490"/>
      <c r="P23" s="486">
        <f ca="1">AVERAGE(G21*(1-G23),J21*(1-J23),M21*(1-M23))</f>
        <v>11.092388976770634</v>
      </c>
      <c r="Q23" s="491">
        <f ca="1">AVERAGE(G21*(1-$G$23),M21*(1-$M$23),J21*(1-$J$23))</f>
        <v>11.092388976770634</v>
      </c>
      <c r="R23" s="491">
        <f ca="1">AVERAGE(H21*(1-$G$23),N21*(1-$M$23),K21*(1-$J$23))</f>
        <v>147.90306300259985</v>
      </c>
      <c r="S23" s="487"/>
    </row>
    <row r="24" spans="1:19" ht="8.1" customHeight="1">
      <c r="A24" s="209"/>
      <c r="B24" s="207"/>
      <c r="C24" s="208"/>
      <c r="D24" s="210"/>
      <c r="E24" s="210"/>
      <c r="F24" s="208"/>
      <c r="G24" s="210"/>
      <c r="H24" s="210"/>
      <c r="I24" s="208"/>
      <c r="J24" s="210"/>
      <c r="K24" s="210"/>
      <c r="L24" s="208"/>
      <c r="M24" s="210"/>
      <c r="N24" s="210"/>
      <c r="O24" s="208"/>
      <c r="P24" s="208"/>
      <c r="Q24" s="210"/>
      <c r="R24" s="210"/>
    </row>
    <row r="25" spans="1:19" ht="14.45">
      <c r="A25" s="215" t="s">
        <v>279</v>
      </c>
      <c r="B25" s="216"/>
      <c r="C25" s="217"/>
      <c r="D25" s="217"/>
      <c r="E25" s="216"/>
      <c r="F25" s="217"/>
      <c r="G25" s="216"/>
      <c r="H25" s="216"/>
      <c r="I25" s="217"/>
      <c r="J25" s="216"/>
      <c r="K25" s="217"/>
      <c r="L25" s="217"/>
      <c r="M25" s="217"/>
      <c r="N25" s="217"/>
      <c r="O25" s="217"/>
      <c r="P25" s="217"/>
      <c r="Q25" s="217"/>
      <c r="R25" s="217"/>
    </row>
    <row r="26" spans="1:19" ht="14.45">
      <c r="A26" s="218" t="s">
        <v>294</v>
      </c>
      <c r="B26" s="202"/>
      <c r="D26" s="219">
        <f ca="1">AVERAGE($Q$23:$R$23)</f>
        <v>79.497725989685236</v>
      </c>
      <c r="E26" s="202"/>
      <c r="H26" s="220"/>
      <c r="J26" s="202"/>
    </row>
    <row r="27" spans="1:19" ht="14.45">
      <c r="A27" s="218" t="s">
        <v>295</v>
      </c>
      <c r="B27" s="202"/>
      <c r="D27" s="221">
        <f ca="1">AVERAGE($D$21:$E$21)</f>
        <v>135.84702874960473</v>
      </c>
      <c r="E27" s="202"/>
      <c r="J27" s="202"/>
    </row>
    <row r="28" spans="1:19" ht="8.1" customHeight="1">
      <c r="A28" s="202"/>
      <c r="B28" s="222"/>
      <c r="D28" s="223"/>
      <c r="E28" s="223"/>
      <c r="G28" s="223"/>
      <c r="H28" s="223"/>
      <c r="J28" s="223"/>
      <c r="K28" s="223"/>
      <c r="M28" s="223"/>
      <c r="N28" s="223"/>
      <c r="Q28" s="223"/>
      <c r="R28" s="223"/>
    </row>
    <row r="29" spans="1:19" ht="14.45">
      <c r="A29" s="218" t="s">
        <v>305</v>
      </c>
      <c r="B29" s="202"/>
      <c r="D29" s="224">
        <f ca="1">AVERAGE(D27,D26)</f>
        <v>107.67237736964498</v>
      </c>
      <c r="E29" s="202"/>
      <c r="J29" s="202"/>
    </row>
    <row r="30" spans="1:19" ht="14.45">
      <c r="A30" s="218" t="s">
        <v>297</v>
      </c>
      <c r="B30" s="202"/>
      <c r="D30" s="450">
        <f ca="1">Financials!J11</f>
        <v>51863</v>
      </c>
      <c r="E30" s="202"/>
      <c r="J30" s="202"/>
    </row>
    <row r="31" spans="1:19" ht="14.45">
      <c r="A31" s="218" t="s">
        <v>306</v>
      </c>
      <c r="B31" s="202"/>
      <c r="D31" s="451">
        <f ca="1">D29*D30</f>
        <v>5584212.5075218976</v>
      </c>
      <c r="E31" s="202"/>
      <c r="J31" s="202"/>
    </row>
    <row r="32" spans="1:19" ht="14.45">
      <c r="A32" s="452" t="s">
        <v>299</v>
      </c>
      <c r="B32" s="202"/>
      <c r="D32" s="450">
        <f ca="1">Financials!J200+Financials!J205+Financials!J210</f>
        <v>0</v>
      </c>
      <c r="E32" s="202"/>
      <c r="J32" s="202"/>
    </row>
    <row r="33" spans="1:18" ht="14.45">
      <c r="A33" s="452" t="s">
        <v>300</v>
      </c>
      <c r="B33" s="202"/>
      <c r="D33" s="450">
        <f ca="1">Financials!J52</f>
        <v>210462.66571362031</v>
      </c>
      <c r="E33" s="202"/>
      <c r="J33" s="202"/>
    </row>
    <row r="34" spans="1:18" ht="14.45">
      <c r="A34" s="452" t="s">
        <v>301</v>
      </c>
      <c r="B34" s="202"/>
      <c r="D34" s="450">
        <f ca="1">D31-D32+D33</f>
        <v>5794675.1732355179</v>
      </c>
      <c r="E34" s="202"/>
      <c r="J34" s="202"/>
    </row>
    <row r="35" spans="1:18" ht="15" customHeight="1">
      <c r="A35" s="202"/>
      <c r="B35" s="222"/>
      <c r="D35" s="223"/>
      <c r="E35" s="223"/>
      <c r="G35" s="223"/>
      <c r="H35" s="223"/>
      <c r="J35" s="223"/>
      <c r="K35" s="223"/>
      <c r="M35" s="223"/>
      <c r="N35" s="223"/>
      <c r="Q35" s="223"/>
      <c r="R35" s="223"/>
    </row>
    <row r="36" spans="1:18" ht="14.45">
      <c r="A36" s="252" t="s">
        <v>302</v>
      </c>
      <c r="B36" s="213"/>
      <c r="C36" s="214"/>
      <c r="D36" s="253">
        <f ca="1">D34/Assumptions!B25</f>
        <v>43.279372419415324</v>
      </c>
      <c r="E36" s="213"/>
      <c r="F36" s="214"/>
      <c r="G36" s="214"/>
      <c r="H36" s="214"/>
      <c r="I36" s="214"/>
      <c r="J36" s="213"/>
      <c r="K36" s="213"/>
      <c r="L36" s="214"/>
      <c r="M36" s="213"/>
      <c r="N36" s="213"/>
      <c r="O36" s="214"/>
      <c r="P36" s="214"/>
      <c r="Q36" s="213"/>
      <c r="R36" s="213"/>
    </row>
    <row r="37" spans="1:18" ht="14.45">
      <c r="A37" s="206"/>
      <c r="B37" s="202"/>
      <c r="E37" s="203"/>
      <c r="J37" s="202"/>
      <c r="K37" s="202"/>
      <c r="M37" s="202"/>
      <c r="N37" s="202"/>
      <c r="Q37" s="202"/>
      <c r="R37" s="202"/>
    </row>
    <row r="38" spans="1:18" ht="14.45">
      <c r="A38" s="254" t="s">
        <v>285</v>
      </c>
      <c r="B38" s="255"/>
      <c r="C38" s="255"/>
      <c r="D38" s="255"/>
      <c r="E38" s="255"/>
      <c r="F38" s="255"/>
      <c r="G38" s="255"/>
      <c r="H38" s="255"/>
      <c r="I38" s="255"/>
      <c r="J38" s="255"/>
      <c r="K38" s="255"/>
      <c r="L38" s="255"/>
      <c r="M38" s="255"/>
      <c r="N38" s="255"/>
      <c r="O38" s="255"/>
      <c r="P38" s="255"/>
      <c r="Q38" s="255"/>
      <c r="R38" s="255"/>
    </row>
    <row r="39" spans="1:18" ht="14.45">
      <c r="A39" s="257" t="s">
        <v>303</v>
      </c>
    </row>
    <row r="40" spans="1:18" ht="14.45">
      <c r="A40" s="257" t="s">
        <v>287</v>
      </c>
    </row>
    <row r="41" spans="1:18" ht="14.45">
      <c r="A41" s="258" t="s">
        <v>288</v>
      </c>
      <c r="B41" s="256"/>
      <c r="C41" s="256"/>
      <c r="D41" s="256"/>
      <c r="E41" s="256"/>
      <c r="F41" s="256"/>
      <c r="G41" s="256"/>
      <c r="H41" s="256"/>
      <c r="I41" s="256"/>
      <c r="J41" s="256"/>
      <c r="K41" s="256"/>
      <c r="L41" s="256"/>
      <c r="M41" s="256"/>
      <c r="N41" s="256"/>
      <c r="O41" s="256"/>
      <c r="P41" s="256"/>
      <c r="Q41" s="256"/>
      <c r="R41" s="256"/>
    </row>
  </sheetData>
  <mergeCells count="32">
    <mergeCell ref="D15:E15"/>
    <mergeCell ref="G15:H15"/>
    <mergeCell ref="J15:K15"/>
    <mergeCell ref="M15:N15"/>
    <mergeCell ref="D23:E23"/>
    <mergeCell ref="G23:H23"/>
    <mergeCell ref="J23:K23"/>
    <mergeCell ref="M23:N23"/>
    <mergeCell ref="Q15:R15"/>
    <mergeCell ref="A17:A21"/>
    <mergeCell ref="Q13:R13"/>
    <mergeCell ref="D14:E14"/>
    <mergeCell ref="G14:H14"/>
    <mergeCell ref="J14:K14"/>
    <mergeCell ref="M14:N14"/>
    <mergeCell ref="Q14:R14"/>
    <mergeCell ref="A12:A15"/>
    <mergeCell ref="D12:E12"/>
    <mergeCell ref="G12:H12"/>
    <mergeCell ref="J12:K12"/>
    <mergeCell ref="M12:N12"/>
    <mergeCell ref="Q12:R12"/>
    <mergeCell ref="D13:E13"/>
    <mergeCell ref="G13:H13"/>
    <mergeCell ref="J13:K13"/>
    <mergeCell ref="Q3:R3"/>
    <mergeCell ref="A7:A10"/>
    <mergeCell ref="M13:N13"/>
    <mergeCell ref="D3:E3"/>
    <mergeCell ref="G3:H3"/>
    <mergeCell ref="J3:K3"/>
    <mergeCell ref="M3:N3"/>
  </mergeCells>
  <phoneticPr fontId="1" type="noConversion"/>
  <printOptions horizontalCentered="1"/>
  <pageMargins left="0.7" right="0.7" top="0.75" bottom="0.75" header="0.3" footer="0.3"/>
  <pageSetup scale="83" orientation="landscape"/>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3C314-BA0A-417F-B01B-5DCC23A075FB}">
  <sheetPr>
    <tabColor theme="9"/>
  </sheetPr>
  <dimension ref="A1:B20"/>
  <sheetViews>
    <sheetView workbookViewId="0">
      <selection activeCell="A4" sqref="A4"/>
    </sheetView>
  </sheetViews>
  <sheetFormatPr defaultColWidth="8.85546875" defaultRowHeight="14.45"/>
  <cols>
    <col min="1" max="1" width="30.42578125" customWidth="1"/>
    <col min="2" max="2" width="17.42578125" customWidth="1"/>
  </cols>
  <sheetData>
    <row r="1" spans="1:2">
      <c r="A1" s="476" t="s">
        <v>307</v>
      </c>
    </row>
    <row r="2" spans="1:2">
      <c r="A2" s="476"/>
    </row>
    <row r="3" spans="1:2" ht="15" thickBot="1">
      <c r="A3" s="58" t="s">
        <v>308</v>
      </c>
      <c r="B3" s="58" t="s">
        <v>309</v>
      </c>
    </row>
    <row r="4" spans="1:2">
      <c r="A4" t="s">
        <v>310</v>
      </c>
    </row>
    <row r="5" spans="1:2">
      <c r="A5" t="s">
        <v>311</v>
      </c>
    </row>
    <row r="6" spans="1:2">
      <c r="A6" t="s">
        <v>312</v>
      </c>
    </row>
    <row r="7" spans="1:2">
      <c r="A7" t="s">
        <v>313</v>
      </c>
    </row>
    <row r="8" spans="1:2">
      <c r="A8" t="s">
        <v>314</v>
      </c>
    </row>
    <row r="9" spans="1:2">
      <c r="A9" t="s">
        <v>315</v>
      </c>
    </row>
    <row r="10" spans="1:2">
      <c r="A10" t="s">
        <v>316</v>
      </c>
    </row>
    <row r="11" spans="1:2">
      <c r="A11" t="s">
        <v>317</v>
      </c>
    </row>
    <row r="13" spans="1:2">
      <c r="A13" s="174" t="s">
        <v>318</v>
      </c>
      <c r="B13" s="175" t="s">
        <v>319</v>
      </c>
    </row>
    <row r="14" spans="1:2">
      <c r="A14" s="73" t="s">
        <v>320</v>
      </c>
      <c r="B14" s="297" t="str">
        <f>IFERROR(AVERAGE(B4:B11), "N/A")</f>
        <v>N/A</v>
      </c>
    </row>
    <row r="15" spans="1:2">
      <c r="A15" s="73" t="s">
        <v>321</v>
      </c>
      <c r="B15" s="169">
        <f ca="1">Financials!J11</f>
        <v>51863</v>
      </c>
    </row>
    <row r="16" spans="1:2">
      <c r="A16" s="75" t="s">
        <v>322</v>
      </c>
      <c r="B16" s="170" t="str">
        <f ca="1">IFERROR((B15*B14),"N/A")</f>
        <v>N/A</v>
      </c>
    </row>
    <row r="17" spans="1:2">
      <c r="A17" s="73" t="s">
        <v>323</v>
      </c>
      <c r="B17" s="169">
        <f ca="1" xml:space="preserve"> SUMIF(BS_Start:BS_End,"Cash",OFFSET(BS_Start,0,MATCH(Financials!J6,Financials!$6:$6,0)-COLUMN(BS_Start))) -
   SUMIF(BS_Start:BS_End,"FC",OFFSET(BS_Start,0,MATCH(Financials!J6,Financials!$6:$6,0)-COLUMN(BS_Start)))</f>
        <v>250462.66571362031</v>
      </c>
    </row>
    <row r="18" spans="1:2">
      <c r="A18" s="75" t="s">
        <v>221</v>
      </c>
      <c r="B18" s="170" t="e">
        <f ca="1">B16+B17</f>
        <v>#VALUE!</v>
      </c>
    </row>
    <row r="19" spans="1:2">
      <c r="A19" s="106" t="s">
        <v>324</v>
      </c>
      <c r="B19" s="171">
        <f>Shares_Out</f>
        <v>133890</v>
      </c>
    </row>
    <row r="20" spans="1:2">
      <c r="A20" s="165" t="s">
        <v>325</v>
      </c>
      <c r="B20" s="172" t="e">
        <f ca="1">B18/B19</f>
        <v>#VALUE!</v>
      </c>
    </row>
  </sheetData>
  <pageMargins left="0.7" right="0.7" top="0.75" bottom="0.75" header="0.3" footer="0.3"/>
  <legacy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3782B-B920-46DB-ADA7-4EA87917571E}">
  <sheetPr>
    <tabColor theme="4"/>
    <pageSetUpPr fitToPage="1"/>
  </sheetPr>
  <dimension ref="A1:N18"/>
  <sheetViews>
    <sheetView showGridLines="0" view="pageBreakPreview" zoomScale="115" zoomScaleNormal="100" zoomScaleSheetLayoutView="115" workbookViewId="0">
      <pane ySplit="4" topLeftCell="A7" activePane="bottomLeft" state="frozen"/>
      <selection pane="bottomLeft" activeCell="L22" sqref="L22"/>
      <selection activeCell="Q21" sqref="Q21"/>
    </sheetView>
  </sheetViews>
  <sheetFormatPr defaultColWidth="8.85546875" defaultRowHeight="14.45"/>
  <cols>
    <col min="1" max="1" width="25.42578125" bestFit="1" customWidth="1"/>
    <col min="2" max="8" width="10.42578125" bestFit="1" customWidth="1"/>
    <col min="9" max="10" width="10.42578125" customWidth="1"/>
    <col min="11" max="11" width="0.42578125" customWidth="1"/>
    <col min="12" max="12" width="9.42578125" customWidth="1"/>
    <col min="13" max="13" width="3" customWidth="1"/>
  </cols>
  <sheetData>
    <row r="1" spans="1:14" ht="26.25" customHeight="1">
      <c r="A1" s="107" t="str">
        <f>"Financials Summary ($"&amp;Scale_Symbol&amp;")"</f>
        <v>Financials Summary ($K)</v>
      </c>
      <c r="B1" s="108"/>
      <c r="C1" s="108"/>
      <c r="D1" s="108"/>
      <c r="E1" s="109"/>
      <c r="F1" s="109"/>
      <c r="G1" s="109"/>
      <c r="H1" s="109"/>
      <c r="I1" s="109"/>
      <c r="J1" s="109"/>
      <c r="K1" s="157"/>
      <c r="L1" s="109"/>
      <c r="N1" s="198" t="s">
        <v>326</v>
      </c>
    </row>
    <row r="2" spans="1:14" ht="15.6">
      <c r="A2" s="110" t="e">
        <f>"Sales Growth Assumption: "&amp;TEXT(#REF!,"0.0%")</f>
        <v>#REF!</v>
      </c>
      <c r="B2" s="111" t="s">
        <v>236</v>
      </c>
      <c r="C2" s="57"/>
      <c r="D2" s="57"/>
      <c r="E2" s="57"/>
      <c r="F2" s="111" t="s">
        <v>79</v>
      </c>
      <c r="G2" s="57"/>
      <c r="H2" s="111"/>
      <c r="I2" s="111"/>
      <c r="J2" s="57"/>
      <c r="K2" s="157"/>
      <c r="L2" s="157"/>
    </row>
    <row r="3" spans="1:14" ht="15" thickBot="1">
      <c r="A3" s="163" t="s">
        <v>327</v>
      </c>
      <c r="B3" s="445" cm="1">
        <f t="array" aca="1" ref="B3:J3" ca="1">Annual_Periods</f>
        <v>44560</v>
      </c>
      <c r="C3" s="445">
        <f ca="1"/>
        <v>44926</v>
      </c>
      <c r="D3" s="445">
        <f ca="1"/>
        <v>45291</v>
      </c>
      <c r="E3" s="445">
        <f ca="1"/>
        <v>45657</v>
      </c>
      <c r="F3" s="445">
        <f ca="1"/>
        <v>46022</v>
      </c>
      <c r="G3" s="445">
        <f ca="1"/>
        <v>46387</v>
      </c>
      <c r="H3" s="445">
        <f ca="1"/>
        <v>46752</v>
      </c>
      <c r="I3" s="445">
        <f ca="1"/>
        <v>47118</v>
      </c>
      <c r="J3" s="445">
        <f ca="1"/>
        <v>47483</v>
      </c>
      <c r="K3" s="157"/>
      <c r="L3" s="112"/>
    </row>
    <row r="4" spans="1:14" ht="9" customHeight="1">
      <c r="A4" s="113"/>
      <c r="B4" s="114"/>
      <c r="C4" s="114"/>
      <c r="D4" s="114"/>
      <c r="E4" s="114"/>
      <c r="F4" s="114"/>
      <c r="G4" s="114"/>
      <c r="H4" s="114"/>
      <c r="I4" s="114"/>
      <c r="J4" s="114"/>
      <c r="K4" s="166"/>
      <c r="L4" s="114"/>
    </row>
    <row r="5" spans="1:14" hidden="1">
      <c r="A5" s="115" t="s">
        <v>328</v>
      </c>
      <c r="B5" s="116" t="e">
        <f ca="1">INDEX(#REF!,MATCH(B$3,#REF!,0))</f>
        <v>#REF!</v>
      </c>
      <c r="C5" s="116" t="e">
        <f ca="1">INDEX(#REF!,MATCH(C$3,#REF!,0))</f>
        <v>#REF!</v>
      </c>
      <c r="D5" s="116" t="e">
        <f ca="1">INDEX(#REF!,MATCH(D$3,#REF!,0))</f>
        <v>#REF!</v>
      </c>
      <c r="E5" s="116" t="e">
        <f ca="1">INDEX(#REF!,MATCH(E$3,#REF!,0))</f>
        <v>#REF!</v>
      </c>
      <c r="F5" s="116" t="e">
        <f ca="1">INDEX(#REF!,MATCH(F$3,#REF!,0))</f>
        <v>#REF!</v>
      </c>
      <c r="G5" s="116" t="e">
        <f ca="1">INDEX(#REF!,MATCH(G$3,#REF!,0))</f>
        <v>#REF!</v>
      </c>
      <c r="H5" s="116" t="e">
        <f ca="1">INDEX(#REF!,MATCH(H$3,#REF!,0))</f>
        <v>#REF!</v>
      </c>
      <c r="I5" s="116" t="e">
        <f ca="1">INDEX(#REF!,MATCH(I$3,#REF!,0))</f>
        <v>#REF!</v>
      </c>
      <c r="J5" s="116" t="e">
        <f ca="1">INDEX(#REF!,MATCH(J$3,#REF!,0))</f>
        <v>#REF!</v>
      </c>
      <c r="K5" s="157"/>
      <c r="L5" s="117" t="e">
        <f ca="1">_xlfn.RRI(COUNT(OFFSET($A$3,0,1):OFFSET($L$3,0,-1))-1,$B5,$F5)</f>
        <v>#REF!</v>
      </c>
    </row>
    <row r="6" spans="1:14" hidden="1">
      <c r="A6" s="118" t="s">
        <v>329</v>
      </c>
      <c r="B6" s="62" t="e">
        <f ca="1">INDEX(#REF!,MATCH(B$3,#REF!,0))</f>
        <v>#REF!</v>
      </c>
      <c r="C6" s="62" t="e">
        <f ca="1">INDEX(#REF!,MATCH(C$3,#REF!,0))</f>
        <v>#REF!</v>
      </c>
      <c r="D6" s="62" t="e">
        <f ca="1">INDEX(#REF!,MATCH(D$3,#REF!,0))</f>
        <v>#REF!</v>
      </c>
      <c r="E6" s="62" t="e">
        <f ca="1">INDEX(#REF!,MATCH(E$3,#REF!,0))</f>
        <v>#REF!</v>
      </c>
      <c r="F6" s="62" t="e">
        <f ca="1">INDEX(#REF!,MATCH(F$3,#REF!,0))</f>
        <v>#REF!</v>
      </c>
      <c r="G6" s="62" t="e">
        <f ca="1">INDEX(#REF!,MATCH(G$3,#REF!,0))</f>
        <v>#REF!</v>
      </c>
      <c r="H6" s="62" t="e">
        <f ca="1">INDEX(#REF!,MATCH(H$3,#REF!,0))</f>
        <v>#REF!</v>
      </c>
      <c r="I6" s="62" t="e">
        <f ca="1">INDEX(#REF!,MATCH(I$3,#REF!,0))</f>
        <v>#REF!</v>
      </c>
      <c r="J6" s="62" t="e">
        <f ca="1">INDEX(#REF!,MATCH(J$3,#REF!,0))</f>
        <v>#REF!</v>
      </c>
      <c r="K6" s="166"/>
      <c r="L6" s="114"/>
    </row>
    <row r="7" spans="1:14" ht="25.5" customHeight="1">
      <c r="A7" s="115" t="s">
        <v>330</v>
      </c>
      <c r="B7" s="160">
        <f ca="1">INDEX(Financials!$11:$11,MATCH(B$3,Financials!$6:$6,0))</f>
        <v>2862</v>
      </c>
      <c r="C7" s="160">
        <f ca="1">INDEX(Financials!$11:$11,MATCH(C$3,Financials!$6:$6,0))</f>
        <v>11804</v>
      </c>
      <c r="D7" s="160">
        <f ca="1">INDEX(Financials!$11:$11,MATCH(D$3,Financials!$6:$6,0))</f>
        <v>22810</v>
      </c>
      <c r="E7" s="160">
        <f ca="1">INDEX(Financials!$11:$11,MATCH(E$3,Financials!$6:$6,0))</f>
        <v>37045</v>
      </c>
      <c r="F7" s="160">
        <f ca="1">INDEX(Financials!$11:$11,MATCH(F$3,Financials!$6:$6,0))</f>
        <v>51863</v>
      </c>
      <c r="G7" s="160">
        <f ca="1">INDEX(Financials!$11:$11,MATCH(G$3,Financials!$6:$6,0))</f>
        <v>82980.800000000003</v>
      </c>
      <c r="H7" s="160">
        <f ca="1">INDEX(Financials!$11:$11,MATCH(H$3,Financials!$6:$6,0))</f>
        <v>165961.60000000001</v>
      </c>
      <c r="I7" s="160">
        <f ca="1">INDEX(Financials!$11:$11,MATCH(I$3,Financials!$6:$6,0))</f>
        <v>365115.52</v>
      </c>
      <c r="J7" s="160">
        <f ca="1">INDEX(Financials!$11:$11,MATCH(J$3,Financials!$6:$6,0))</f>
        <v>657207.9360000001</v>
      </c>
      <c r="K7" s="157"/>
      <c r="L7" s="117">
        <f ca="1">_xlfn.RRI(5,E7,J7)</f>
        <v>0.77743873355202253</v>
      </c>
    </row>
    <row r="8" spans="1:14" ht="25.5" customHeight="1">
      <c r="A8" s="118" t="s">
        <v>331</v>
      </c>
      <c r="B8" s="161">
        <f ca="1">INDEX(Financials!$16:$16,MATCH(B$3,Financials!$6:$6,0))</f>
        <v>-1770</v>
      </c>
      <c r="C8" s="161">
        <f ca="1">INDEX(Financials!$16:$16,MATCH(C$3,Financials!$6:$6,0))</f>
        <v>-7317</v>
      </c>
      <c r="D8" s="161">
        <f ca="1">INDEX(Financials!$16:$16,MATCH(D$3,Financials!$6:$6,0))</f>
        <v>-18961</v>
      </c>
      <c r="E8" s="161">
        <f ca="1">INDEX(Financials!$16:$16,MATCH(E$3,Financials!$6:$6,0))</f>
        <v>-4937</v>
      </c>
      <c r="F8" s="161">
        <f ca="1">INDEX(Financials!$16:$16,MATCH(F$3,Financials!$6:$6,0))</f>
        <v>-10372.6</v>
      </c>
      <c r="G8" s="161">
        <f ca="1">INDEX(Financials!$16:$16,MATCH(G$3,Financials!$6:$6,0))</f>
        <v>-20745.2</v>
      </c>
      <c r="H8" s="161">
        <f ca="1">INDEX(Financials!$16:$16,MATCH(H$3,Financials!$6:$6,0))</f>
        <v>-41490.400000000001</v>
      </c>
      <c r="I8" s="161">
        <f ca="1">INDEX(Financials!$16:$16,MATCH(I$3,Financials!$6:$6,0))</f>
        <v>-109534.656</v>
      </c>
      <c r="J8" s="161">
        <f ca="1">INDEX(Financials!$16:$16,MATCH(J$3,Financials!$6:$6,0))</f>
        <v>-230022.77760000003</v>
      </c>
      <c r="K8" s="157"/>
      <c r="L8" s="62"/>
    </row>
    <row r="9" spans="1:14" ht="25.5" customHeight="1">
      <c r="A9" s="115" t="s">
        <v>94</v>
      </c>
      <c r="B9" s="160">
        <f ca="1">B7+B8</f>
        <v>1092</v>
      </c>
      <c r="C9" s="160">
        <f t="shared" ref="C9:J9" ca="1" si="0">C7+C8</f>
        <v>4487</v>
      </c>
      <c r="D9" s="160">
        <f t="shared" ca="1" si="0"/>
        <v>3849</v>
      </c>
      <c r="E9" s="160">
        <f t="shared" ca="1" si="0"/>
        <v>32108</v>
      </c>
      <c r="F9" s="160">
        <f t="shared" ca="1" si="0"/>
        <v>41490.400000000001</v>
      </c>
      <c r="G9" s="160">
        <f t="shared" ca="1" si="0"/>
        <v>62235.600000000006</v>
      </c>
      <c r="H9" s="160">
        <f t="shared" ca="1" si="0"/>
        <v>124471.20000000001</v>
      </c>
      <c r="I9" s="160">
        <f t="shared" ca="1" si="0"/>
        <v>255580.864</v>
      </c>
      <c r="J9" s="160">
        <f t="shared" ca="1" si="0"/>
        <v>427185.15840000007</v>
      </c>
      <c r="K9" s="157"/>
      <c r="L9" s="117"/>
    </row>
    <row r="10" spans="1:14" ht="25.5" customHeight="1">
      <c r="A10" s="119" t="s">
        <v>332</v>
      </c>
      <c r="B10" s="120">
        <f ca="1">IFERROR(B9/B$7,"NA")</f>
        <v>0.38155136268343814</v>
      </c>
      <c r="C10" s="120">
        <f t="shared" ref="C10:J10" ca="1" si="1">IFERROR(C9/C$7,"NA")</f>
        <v>0.38012538122670281</v>
      </c>
      <c r="D10" s="120">
        <f t="shared" ca="1" si="1"/>
        <v>0.16874177992108724</v>
      </c>
      <c r="E10" s="120">
        <f t="shared" ca="1" si="1"/>
        <v>0.86672965312457817</v>
      </c>
      <c r="F10" s="120">
        <f t="shared" ca="1" si="1"/>
        <v>0.8</v>
      </c>
      <c r="G10" s="120">
        <f t="shared" ca="1" si="1"/>
        <v>0.75</v>
      </c>
      <c r="H10" s="120">
        <f t="shared" ca="1" si="1"/>
        <v>0.75</v>
      </c>
      <c r="I10" s="120">
        <f t="shared" ca="1" si="1"/>
        <v>0.7</v>
      </c>
      <c r="J10" s="120">
        <f t="shared" ca="1" si="1"/>
        <v>0.65</v>
      </c>
      <c r="K10" s="157"/>
      <c r="L10" s="121"/>
    </row>
    <row r="11" spans="1:14" ht="8.25" customHeight="1">
      <c r="A11" s="122"/>
      <c r="B11" s="123"/>
      <c r="C11" s="123"/>
      <c r="D11" s="123"/>
      <c r="E11" s="123"/>
      <c r="F11" s="123"/>
      <c r="G11" s="123"/>
      <c r="H11" s="123"/>
      <c r="I11" s="123"/>
      <c r="J11" s="123"/>
      <c r="K11" s="166"/>
      <c r="L11" s="124"/>
    </row>
    <row r="12" spans="1:14" ht="25.5" customHeight="1">
      <c r="A12" s="118" t="s">
        <v>333</v>
      </c>
      <c r="B12" s="161">
        <f ca="1">-INDEX(Financials!$27:$27,MATCH(B$3,Financials!$6:$6,0))</f>
        <v>-175392</v>
      </c>
      <c r="C12" s="161">
        <f ca="1">-INDEX(Financials!$27:$27,MATCH(C$3,Financials!$6:$6,0))</f>
        <v>-234482</v>
      </c>
      <c r="D12" s="161">
        <f ca="1">-INDEX(Financials!$27:$27,MATCH(D$3,Financials!$6:$6,0))</f>
        <v>-279414</v>
      </c>
      <c r="E12" s="161">
        <f ca="1">-INDEX(Financials!$27:$27,MATCH(E$3,Financials!$6:$6,0))</f>
        <v>-170833</v>
      </c>
      <c r="F12" s="161">
        <f ca="1">-INDEX(Financials!$27:$27,MATCH(F$3,Financials!$6:$6,0))</f>
        <v>-178927.34999999998</v>
      </c>
      <c r="G12" s="161">
        <f ca="1">-INDEX(Financials!$27:$27,MATCH(G$3,Financials!$6:$6,0))</f>
        <v>-186706.8</v>
      </c>
      <c r="H12" s="161">
        <f ca="1">-INDEX(Financials!$27:$27,MATCH(H$3,Financials!$6:$6,0))</f>
        <v>-190855.84000000003</v>
      </c>
      <c r="I12" s="161">
        <f ca="1">-INDEX(Financials!$27:$27,MATCH(I$3,Financials!$6:$6,0))</f>
        <v>-197162.38080000001</v>
      </c>
      <c r="J12" s="161">
        <f ca="1">-INDEX(Financials!$27:$27,MATCH(J$3,Financials!$6:$6,0))</f>
        <v>-295743.57120000001</v>
      </c>
      <c r="K12" s="157"/>
      <c r="L12" s="62"/>
      <c r="N12" s="125"/>
    </row>
    <row r="13" spans="1:14" ht="25.5" customHeight="1">
      <c r="A13" s="115" t="s">
        <v>100</v>
      </c>
      <c r="B13" s="160">
        <f ca="1">B9+B12</f>
        <v>-174300</v>
      </c>
      <c r="C13" s="160">
        <f t="shared" ref="C13:J13" ca="1" si="2">C9+C12</f>
        <v>-229995</v>
      </c>
      <c r="D13" s="160">
        <f t="shared" ca="1" si="2"/>
        <v>-275565</v>
      </c>
      <c r="E13" s="160">
        <f t="shared" ca="1" si="2"/>
        <v>-138725</v>
      </c>
      <c r="F13" s="160">
        <f t="shared" ca="1" si="2"/>
        <v>-137436.94999999998</v>
      </c>
      <c r="G13" s="160">
        <f t="shared" ca="1" si="2"/>
        <v>-124471.19999999998</v>
      </c>
      <c r="H13" s="160">
        <f t="shared" ca="1" si="2"/>
        <v>-66384.640000000014</v>
      </c>
      <c r="I13" s="160">
        <f t="shared" ca="1" si="2"/>
        <v>58418.483199999988</v>
      </c>
      <c r="J13" s="160">
        <f t="shared" ca="1" si="2"/>
        <v>131441.58720000007</v>
      </c>
      <c r="K13" s="157"/>
      <c r="L13" s="116"/>
      <c r="N13" s="125"/>
    </row>
    <row r="14" spans="1:14" ht="25.5" customHeight="1">
      <c r="A14" s="119" t="s">
        <v>334</v>
      </c>
      <c r="B14" s="120">
        <f ca="1">IFERROR(B13/B$7,"NA")</f>
        <v>-60.901467505241094</v>
      </c>
      <c r="C14" s="120">
        <f t="shared" ref="C14:J14" ca="1" si="3">IFERROR(C13/C$7,"NA")</f>
        <v>-19.484496780752288</v>
      </c>
      <c r="D14" s="120">
        <f t="shared" ca="1" si="3"/>
        <v>-12.080885576501535</v>
      </c>
      <c r="E14" s="120">
        <f t="shared" ca="1" si="3"/>
        <v>-3.7447698744769875</v>
      </c>
      <c r="F14" s="120">
        <f t="shared" ca="1" si="3"/>
        <v>-2.6499999999999995</v>
      </c>
      <c r="G14" s="120">
        <f t="shared" ca="1" si="3"/>
        <v>-1.4999999999999998</v>
      </c>
      <c r="H14" s="120">
        <f t="shared" ca="1" si="3"/>
        <v>-0.40000000000000008</v>
      </c>
      <c r="I14" s="120">
        <f t="shared" ca="1" si="3"/>
        <v>0.15999999999999995</v>
      </c>
      <c r="J14" s="120">
        <f t="shared" ca="1" si="3"/>
        <v>0.20000000000000007</v>
      </c>
      <c r="K14" s="157"/>
      <c r="L14" s="121"/>
    </row>
    <row r="15" spans="1:14" ht="7.5" customHeight="1">
      <c r="A15" s="122"/>
      <c r="B15" s="123"/>
      <c r="C15" s="123"/>
      <c r="D15" s="123"/>
      <c r="E15" s="123"/>
      <c r="F15" s="123"/>
      <c r="G15" s="123"/>
      <c r="H15" s="123"/>
      <c r="I15" s="123"/>
      <c r="J15" s="123"/>
      <c r="K15" s="166"/>
      <c r="L15" s="124"/>
    </row>
    <row r="16" spans="1:14" ht="25.5" customHeight="1">
      <c r="A16" s="115" t="s">
        <v>30</v>
      </c>
      <c r="B16" s="160">
        <f ca="1">INDEX(Financials!$40:$40,MATCH(B$3,Financials!$6:$6,0))</f>
        <v>-176015</v>
      </c>
      <c r="C16" s="160">
        <f ca="1">INDEX(Financials!$40:$40,MATCH(C$3,Financials!$6:$6,0))</f>
        <v>-226235</v>
      </c>
      <c r="D16" s="160">
        <f ca="1">INDEX(Financials!$40:$40,MATCH(D$3,Financials!$6:$6,0))</f>
        <v>-264773</v>
      </c>
      <c r="E16" s="160">
        <f ca="1">INDEX(Financials!$40:$40,MATCH(E$3,Financials!$6:$6,0))</f>
        <v>-138725</v>
      </c>
      <c r="F16" s="160">
        <f ca="1">INDEX(Financials!$40:$40,MATCH(F$3,Financials!$6:$6,0))</f>
        <v>-137436.94999999998</v>
      </c>
      <c r="G16" s="160">
        <f ca="1">INDEX(Financials!$40:$40,MATCH(G$3,Financials!$6:$6,0))</f>
        <v>-124471.19999999998</v>
      </c>
      <c r="H16" s="160">
        <f ca="1">INDEX(Financials!$40:$40,MATCH(H$3,Financials!$6:$6,0))</f>
        <v>-66384.640000000014</v>
      </c>
      <c r="I16" s="160">
        <f ca="1">INDEX(Financials!$40:$40,MATCH(I$3,Financials!$6:$6,0))</f>
        <v>58418.483199999988</v>
      </c>
      <c r="J16" s="160">
        <f ca="1">INDEX(Financials!$40:$40,MATCH(J$3,Financials!$6:$6,0))</f>
        <v>131441.58720000007</v>
      </c>
      <c r="K16" s="157"/>
      <c r="L16" s="117"/>
    </row>
    <row r="17" spans="1:12" ht="25.5" customHeight="1">
      <c r="A17" s="119" t="s">
        <v>117</v>
      </c>
      <c r="B17" s="120">
        <f t="shared" ref="B17:J17" ca="1" si="4">IFERROR(B16/B$7,"NA")</f>
        <v>-61.500698812019564</v>
      </c>
      <c r="C17" s="120">
        <f t="shared" ca="1" si="4"/>
        <v>-19.165960691291087</v>
      </c>
      <c r="D17" s="120">
        <f t="shared" ca="1" si="4"/>
        <v>-11.607759754493642</v>
      </c>
      <c r="E17" s="120">
        <f t="shared" ca="1" si="4"/>
        <v>-3.7447698744769875</v>
      </c>
      <c r="F17" s="120">
        <f t="shared" ca="1" si="4"/>
        <v>-2.6499999999999995</v>
      </c>
      <c r="G17" s="120">
        <f t="shared" ca="1" si="4"/>
        <v>-1.4999999999999998</v>
      </c>
      <c r="H17" s="120">
        <f t="shared" ca="1" si="4"/>
        <v>-0.40000000000000008</v>
      </c>
      <c r="I17" s="120">
        <f t="shared" ca="1" si="4"/>
        <v>0.15999999999999995</v>
      </c>
      <c r="J17" s="120">
        <f t="shared" ca="1" si="4"/>
        <v>0.20000000000000007</v>
      </c>
      <c r="K17" s="157"/>
      <c r="L17" s="121"/>
    </row>
    <row r="18" spans="1:12" ht="9.6" customHeight="1"/>
  </sheetData>
  <printOptions horizontalCentered="1"/>
  <pageMargins left="0.7" right="0.7" top="0.75" bottom="0.75" header="0.3" footer="0.3"/>
  <pageSetup fitToHeight="0" orientation="landscape" r:id="rId1"/>
  <rowBreaks count="1" manualBreakCount="1">
    <brk id="18" max="11"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ba133cde-a7eb-4732-8997-3800c1a105e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52E3B295E836B438E7463B0D98647F5" ma:contentTypeVersion="6" ma:contentTypeDescription="Create a new document." ma:contentTypeScope="" ma:versionID="461041440c0be4a285bcac482053bd97">
  <xsd:schema xmlns:xsd="http://www.w3.org/2001/XMLSchema" xmlns:xs="http://www.w3.org/2001/XMLSchema" xmlns:p="http://schemas.microsoft.com/office/2006/metadata/properties" xmlns:ns3="ba133cde-a7eb-4732-8997-3800c1a105ef" targetNamespace="http://schemas.microsoft.com/office/2006/metadata/properties" ma:root="true" ma:fieldsID="55465ca8497ed568e2805154085db8fa" ns3:_="">
    <xsd:import namespace="ba133cde-a7eb-4732-8997-3800c1a105e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133cde-a7eb-4732-8997-3800c1a105e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0C763C-A70A-4AF6-8DFB-1DD4D1D1A83C}"/>
</file>

<file path=customXml/itemProps2.xml><?xml version="1.0" encoding="utf-8"?>
<ds:datastoreItem xmlns:ds="http://schemas.openxmlformats.org/officeDocument/2006/customXml" ds:itemID="{4AF1B1A6-1B6D-4105-8A1E-0D0EDECEB64C}"/>
</file>

<file path=customXml/itemProps3.xml><?xml version="1.0" encoding="utf-8"?>
<ds:datastoreItem xmlns:ds="http://schemas.openxmlformats.org/officeDocument/2006/customXml" ds:itemID="{9838AF91-22E3-43E2-B27B-E99CE810EA73}"/>
</file>

<file path=docMetadata/LabelInfo.xml><?xml version="1.0" encoding="utf-8"?>
<clbl:labelList xmlns:clbl="http://schemas.microsoft.com/office/2020/mipLabelMetadata">
  <clbl:label id="{a8eec281-aaa3-4dae-ac9b-9a398b9215e7}" enabled="0" method="" siteId="{a8eec281-aaa3-4dae-ac9b-9a398b9215e7}"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Nick Douglas</dc:creator>
  <cp:keywords/>
  <dc:description/>
  <cp:lastModifiedBy/>
  <cp:revision/>
  <dcterms:created xsi:type="dcterms:W3CDTF">2022-11-10T18:42:52Z</dcterms:created>
  <dcterms:modified xsi:type="dcterms:W3CDTF">2025-10-18T07:01:55Z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0x010100B52E3B295E836B438E7463B0D98647F5</vt:lpwstr>
  </property>
</Properties>
</file>